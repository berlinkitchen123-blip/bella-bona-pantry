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5"/>
  <workbookPr/>
  <xr:revisionPtr revIDLastSave="4807" documentId="11_0F40E4208068A2E492E333CB499FCE1DB91F8122" xr6:coauthVersionLast="47" xr6:coauthVersionMax="47" xr10:uidLastSave="{F9887066-678C-4BFE-B782-84499D29DD31}"/>
  <bookViews>
    <workbookView xWindow="0" yWindow="0" windowWidth="28760" windowHeight="15120" firstSheet="34" activeTab="37" xr2:uid="{00000000-000D-0000-FFFF-FFFF00000000}"/>
  </bookViews>
  <sheets>
    <sheet name="Week 14" sheetId="1" r:id="rId1"/>
    <sheet name="07.04.26" sheetId="2" r:id="rId2"/>
    <sheet name="09.04.26" sheetId="3" r:id="rId3"/>
    <sheet name="13.04.26" sheetId="4" r:id="rId4"/>
    <sheet name="15.04.26" sheetId="5" r:id="rId5"/>
    <sheet name="20.04.26" sheetId="6" r:id="rId6"/>
    <sheet name="21.04.26" sheetId="7" r:id="rId7"/>
    <sheet name="22.04.26" sheetId="8" r:id="rId8"/>
    <sheet name="27.04.26" sheetId="9" r:id="rId9"/>
    <sheet name="29.04.26" sheetId="11" r:id="rId10"/>
    <sheet name="30.04.26" sheetId="12" r:id="rId11"/>
    <sheet name="04.05.26" sheetId="13" r:id="rId12"/>
    <sheet name="05.05.26" sheetId="18" r:id="rId13"/>
    <sheet name="06.05.26" sheetId="16" r:id="rId14"/>
    <sheet name="07.05.26" sheetId="20" r:id="rId15"/>
    <sheet name="08.05.26" sheetId="21" r:id="rId16"/>
    <sheet name="11.05.26" sheetId="23" r:id="rId17"/>
    <sheet name="12.05.26" sheetId="25" r:id="rId18"/>
    <sheet name="18.05.26" sheetId="27" r:id="rId19"/>
    <sheet name="19.05.26" sheetId="28" r:id="rId20"/>
    <sheet name="20.05.26" sheetId="29" r:id="rId21"/>
    <sheet name="21.05.2029" sheetId="35" r:id="rId22"/>
    <sheet name="26.05.26" sheetId="31" r:id="rId23"/>
    <sheet name="27.05.26" sheetId="33" r:id="rId24"/>
    <sheet name="28.05.2029" sheetId="36" r:id="rId25"/>
    <sheet name="29.05.2029" sheetId="37" r:id="rId26"/>
    <sheet name="01.06.26" sheetId="39" r:id="rId27"/>
    <sheet name="02.06.26" sheetId="40" r:id="rId28"/>
    <sheet name="03.06.26" sheetId="41" r:id="rId29"/>
    <sheet name="08.06.26" sheetId="43" r:id="rId30"/>
    <sheet name="09.06.26" sheetId="44" r:id="rId31"/>
    <sheet name="10.06.26" sheetId="45" r:id="rId32"/>
    <sheet name="15.06.26" sheetId="47" r:id="rId33"/>
    <sheet name="16.06.26" sheetId="48" r:id="rId34"/>
    <sheet name="17.06.26" sheetId="49" r:id="rId35"/>
    <sheet name="22.06.26" sheetId="50" r:id="rId36"/>
    <sheet name="23.06.26" sheetId="51" r:id="rId37"/>
    <sheet name="24.06.26" sheetId="52" r:id="rId3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52" l="1"/>
  <c r="E18" i="52"/>
  <c r="E17" i="52"/>
  <c r="E16" i="52"/>
  <c r="E15" i="52"/>
  <c r="E14" i="52"/>
  <c r="E13" i="52"/>
  <c r="E12" i="52"/>
  <c r="E11" i="52"/>
  <c r="E10" i="52"/>
  <c r="E9" i="52"/>
  <c r="E8" i="52"/>
  <c r="E7" i="52"/>
  <c r="E6" i="52"/>
  <c r="E5" i="52"/>
  <c r="E4" i="52"/>
  <c r="E20" i="52" s="1"/>
  <c r="E9" i="51"/>
  <c r="E8" i="51"/>
  <c r="E7" i="51"/>
  <c r="E6" i="51"/>
  <c r="E5" i="51"/>
  <c r="E4" i="51"/>
  <c r="E10" i="51" s="1"/>
  <c r="E20" i="50"/>
  <c r="E19" i="50"/>
  <c r="E18" i="50"/>
  <c r="E17" i="50"/>
  <c r="E16" i="50"/>
  <c r="E15" i="50"/>
  <c r="E14" i="50"/>
  <c r="E13" i="50"/>
  <c r="E12" i="50"/>
  <c r="E11" i="50"/>
  <c r="E10" i="50"/>
  <c r="E9" i="50"/>
  <c r="E8" i="50"/>
  <c r="E7" i="50"/>
  <c r="E6" i="50"/>
  <c r="E5" i="50"/>
  <c r="E4" i="50"/>
  <c r="E21" i="50" s="1"/>
  <c r="F19" i="49"/>
  <c r="F18" i="49"/>
  <c r="F17" i="49"/>
  <c r="F16" i="49"/>
  <c r="F15" i="49"/>
  <c r="F14" i="49"/>
  <c r="F13" i="49"/>
  <c r="F12" i="49"/>
  <c r="F11" i="49"/>
  <c r="F10" i="49"/>
  <c r="F9" i="49"/>
  <c r="F8" i="49"/>
  <c r="F7" i="49"/>
  <c r="F6" i="49"/>
  <c r="F5" i="49"/>
  <c r="F4" i="49"/>
  <c r="F21" i="49" s="1"/>
  <c r="F9" i="48"/>
  <c r="F8" i="48"/>
  <c r="F7" i="48"/>
  <c r="F6" i="48"/>
  <c r="F5" i="48"/>
  <c r="F4" i="48"/>
  <c r="F11" i="48" s="1"/>
  <c r="F20" i="47"/>
  <c r="F19" i="47"/>
  <c r="F18" i="47"/>
  <c r="F17" i="47"/>
  <c r="F16" i="47"/>
  <c r="F15" i="47"/>
  <c r="F14" i="47"/>
  <c r="F13" i="47"/>
  <c r="F12" i="47"/>
  <c r="F11" i="47"/>
  <c r="F10" i="47"/>
  <c r="F9" i="47"/>
  <c r="F8" i="47"/>
  <c r="F7" i="47"/>
  <c r="F6" i="47"/>
  <c r="F24" i="47" s="1"/>
  <c r="F5" i="47"/>
  <c r="F4" i="47"/>
  <c r="F19" i="45"/>
  <c r="F18" i="45"/>
  <c r="F17" i="45"/>
  <c r="F16" i="45"/>
  <c r="F15" i="45"/>
  <c r="F14" i="45"/>
  <c r="F13" i="45"/>
  <c r="F12" i="45"/>
  <c r="F11" i="45"/>
  <c r="F10" i="45"/>
  <c r="F9" i="45"/>
  <c r="F8" i="45"/>
  <c r="F7" i="45"/>
  <c r="F6" i="45"/>
  <c r="F5" i="45"/>
  <c r="F4" i="45"/>
  <c r="F21" i="45" s="1"/>
  <c r="F8" i="44"/>
  <c r="F7" i="44"/>
  <c r="F6" i="44"/>
  <c r="F5" i="44"/>
  <c r="F4" i="44"/>
  <c r="F10" i="44" s="1"/>
  <c r="F20" i="43"/>
  <c r="F19" i="43"/>
  <c r="F18" i="43"/>
  <c r="F17" i="43"/>
  <c r="F16" i="43"/>
  <c r="F15" i="43"/>
  <c r="F14" i="43"/>
  <c r="F13" i="43"/>
  <c r="F12" i="43"/>
  <c r="F11" i="43"/>
  <c r="F10" i="43"/>
  <c r="F9" i="43"/>
  <c r="F8" i="43"/>
  <c r="F7" i="43"/>
  <c r="F6" i="43"/>
  <c r="F5" i="43"/>
  <c r="F4" i="43"/>
  <c r="F22" i="43" s="1"/>
  <c r="F21" i="41"/>
  <c r="F19" i="41"/>
  <c r="F18" i="41"/>
  <c r="F17" i="41"/>
  <c r="F16" i="41"/>
  <c r="F15" i="41"/>
  <c r="F14" i="41"/>
  <c r="F13" i="41"/>
  <c r="F12" i="41"/>
  <c r="F11" i="41"/>
  <c r="F10" i="41"/>
  <c r="F9" i="41"/>
  <c r="F8" i="41"/>
  <c r="F7" i="41"/>
  <c r="F6" i="41"/>
  <c r="F5" i="41"/>
  <c r="F4" i="41"/>
  <c r="F10" i="40"/>
  <c r="F8" i="40"/>
  <c r="F7" i="40"/>
  <c r="F6" i="40"/>
  <c r="F5" i="40"/>
  <c r="F4" i="40"/>
  <c r="F24" i="39"/>
  <c r="F22" i="39"/>
  <c r="F21" i="39"/>
  <c r="F20" i="39"/>
  <c r="F19" i="39"/>
  <c r="F18" i="39"/>
  <c r="F17" i="39"/>
  <c r="F16" i="39"/>
  <c r="F15" i="39"/>
  <c r="F14" i="39"/>
  <c r="F13" i="39"/>
  <c r="F12" i="39"/>
  <c r="F11" i="39"/>
  <c r="F10" i="39"/>
  <c r="F9" i="39"/>
  <c r="F8" i="39"/>
  <c r="F7" i="39"/>
  <c r="F6" i="39"/>
  <c r="F5" i="39"/>
  <c r="F4" i="39"/>
  <c r="E4" i="37"/>
  <c r="E3" i="37"/>
  <c r="E2" i="37"/>
  <c r="E5" i="36"/>
  <c r="E4" i="36"/>
  <c r="E3" i="36"/>
  <c r="E2" i="36"/>
  <c r="E4" i="35"/>
  <c r="E5" i="35"/>
  <c r="E3" i="35"/>
  <c r="E2" i="35"/>
  <c r="F10" i="33"/>
  <c r="F8" i="33"/>
  <c r="F7" i="33"/>
  <c r="F6" i="33"/>
  <c r="F5" i="33"/>
  <c r="F4" i="33"/>
  <c r="F23" i="31"/>
  <c r="F22" i="31"/>
  <c r="F21" i="31"/>
  <c r="F20" i="31"/>
  <c r="F19" i="31"/>
  <c r="F18" i="31"/>
  <c r="F17" i="31"/>
  <c r="F16" i="31"/>
  <c r="F15" i="31"/>
  <c r="F14" i="31"/>
  <c r="F13" i="31"/>
  <c r="F12" i="31"/>
  <c r="F11" i="31"/>
  <c r="F10" i="31"/>
  <c r="F9" i="31"/>
  <c r="F8" i="31"/>
  <c r="F7" i="31"/>
  <c r="F6" i="31"/>
  <c r="F5" i="31"/>
  <c r="F4" i="31"/>
  <c r="F25" i="31" s="1"/>
  <c r="F21" i="29"/>
  <c r="F20" i="29"/>
  <c r="F19" i="29"/>
  <c r="F18" i="29"/>
  <c r="F17" i="29"/>
  <c r="F16" i="29"/>
  <c r="F15" i="29"/>
  <c r="F14" i="29"/>
  <c r="F13" i="29"/>
  <c r="F12" i="29"/>
  <c r="F11" i="29"/>
  <c r="F10" i="29"/>
  <c r="F9" i="29"/>
  <c r="F8" i="29"/>
  <c r="F7" i="29"/>
  <c r="F6" i="29"/>
  <c r="F5" i="29"/>
  <c r="F4" i="29"/>
  <c r="F23" i="29" s="1"/>
  <c r="F9" i="28"/>
  <c r="F8" i="28"/>
  <c r="F7" i="28"/>
  <c r="F6" i="28"/>
  <c r="F5" i="28"/>
  <c r="F4" i="28"/>
  <c r="F11" i="28" s="1"/>
  <c r="F21" i="27"/>
  <c r="F20" i="27"/>
  <c r="F19" i="27"/>
  <c r="F18" i="27"/>
  <c r="F17" i="27"/>
  <c r="F16" i="27"/>
  <c r="F15" i="27"/>
  <c r="F14" i="27"/>
  <c r="F13" i="27"/>
  <c r="F12" i="27"/>
  <c r="F11" i="27"/>
  <c r="F10" i="27"/>
  <c r="F9" i="27"/>
  <c r="F8" i="27"/>
  <c r="F7" i="27"/>
  <c r="F6" i="27"/>
  <c r="F23" i="27" s="1"/>
  <c r="F5" i="27"/>
  <c r="F4" i="27"/>
  <c r="F6" i="25"/>
  <c r="F5" i="25"/>
  <c r="E4" i="25"/>
  <c r="F4" i="25" s="1"/>
  <c r="E3" i="25"/>
  <c r="F3" i="25" s="1"/>
  <c r="E2" i="25"/>
  <c r="F2" i="25" s="1"/>
  <c r="F21" i="23"/>
  <c r="E20" i="23"/>
  <c r="F20" i="23" s="1"/>
  <c r="E19" i="23"/>
  <c r="F19" i="23" s="1"/>
  <c r="E18" i="23"/>
  <c r="F18" i="23" s="1"/>
  <c r="E17" i="23"/>
  <c r="F17" i="23" s="1"/>
  <c r="E16" i="23"/>
  <c r="F16" i="23" s="1"/>
  <c r="E15" i="23"/>
  <c r="F15" i="23" s="1"/>
  <c r="F14" i="23"/>
  <c r="E13" i="23"/>
  <c r="F13" i="23" s="1"/>
  <c r="F12" i="23"/>
  <c r="E11" i="23"/>
  <c r="F11" i="23" s="1"/>
  <c r="E10" i="23"/>
  <c r="F10" i="23" s="1"/>
  <c r="E9" i="23"/>
  <c r="F9" i="23" s="1"/>
  <c r="E8" i="23"/>
  <c r="F8" i="23" s="1"/>
  <c r="E7" i="23"/>
  <c r="F7" i="23" s="1"/>
  <c r="E6" i="23"/>
  <c r="F6" i="23" s="1"/>
  <c r="E5" i="23"/>
  <c r="F5" i="23" s="1"/>
  <c r="E4" i="23"/>
  <c r="F4" i="23" s="1"/>
  <c r="F3" i="23"/>
  <c r="F2" i="23"/>
  <c r="F6" i="20"/>
  <c r="F5" i="20"/>
  <c r="F4" i="21"/>
  <c r="E4" i="21"/>
  <c r="F3" i="21"/>
  <c r="F5" i="21" s="1"/>
  <c r="E3" i="21"/>
  <c r="F2" i="21"/>
  <c r="E2" i="21"/>
  <c r="E4" i="20"/>
  <c r="F4" i="20" s="1"/>
  <c r="E3" i="20"/>
  <c r="F3" i="20" s="1"/>
  <c r="E2" i="20"/>
  <c r="F2" i="20" s="1"/>
  <c r="F15" i="16"/>
  <c r="F4" i="18"/>
  <c r="E4" i="18"/>
  <c r="E3" i="18"/>
  <c r="F3" i="18" s="1"/>
  <c r="E16" i="16"/>
  <c r="F16" i="16" s="1"/>
  <c r="E14" i="16"/>
  <c r="F14" i="16" s="1"/>
  <c r="E13" i="16"/>
  <c r="F13" i="16" s="1"/>
  <c r="E12" i="16"/>
  <c r="F12" i="16" s="1"/>
  <c r="E11" i="16"/>
  <c r="F11" i="16" s="1"/>
  <c r="F10" i="16"/>
  <c r="F9" i="16"/>
  <c r="E8" i="16"/>
  <c r="F8" i="16" s="1"/>
  <c r="E7" i="16"/>
  <c r="F7" i="16" s="1"/>
  <c r="E6" i="16"/>
  <c r="F6" i="16" s="1"/>
  <c r="F5" i="16"/>
  <c r="E4" i="16"/>
  <c r="F4" i="16" s="1"/>
  <c r="F3" i="16"/>
  <c r="E2" i="16"/>
  <c r="F15" i="13"/>
  <c r="F14" i="13"/>
  <c r="F13" i="13"/>
  <c r="F21" i="13"/>
  <c r="F20" i="13"/>
  <c r="F19" i="13"/>
  <c r="F18" i="13"/>
  <c r="F17" i="13"/>
  <c r="F16" i="13"/>
  <c r="F12" i="13"/>
  <c r="F11" i="13"/>
  <c r="F10" i="13"/>
  <c r="E9" i="13"/>
  <c r="F9" i="13" s="1"/>
  <c r="F8" i="13"/>
  <c r="F7" i="13"/>
  <c r="F6" i="13"/>
  <c r="E5" i="13"/>
  <c r="F5" i="13" s="1"/>
  <c r="E4" i="13"/>
  <c r="F4" i="13" s="1"/>
  <c r="E3" i="13"/>
  <c r="F3" i="13" s="1"/>
  <c r="E2" i="13"/>
  <c r="F2" i="13" s="1"/>
  <c r="G7" i="12"/>
  <c r="G6" i="12"/>
  <c r="G5" i="12"/>
  <c r="G4" i="12"/>
  <c r="G3" i="12"/>
  <c r="G2" i="12"/>
  <c r="F4" i="12"/>
  <c r="F3" i="12"/>
  <c r="F2" i="12"/>
  <c r="G12" i="11"/>
  <c r="G11" i="11"/>
  <c r="G10" i="11"/>
  <c r="G9" i="11"/>
  <c r="G8" i="11"/>
  <c r="G7" i="11"/>
  <c r="G6" i="11"/>
  <c r="G5" i="11"/>
  <c r="G4" i="11"/>
  <c r="G3" i="11"/>
  <c r="G2" i="11"/>
  <c r="G10" i="9"/>
  <c r="G9" i="9"/>
  <c r="G11" i="9"/>
  <c r="G17" i="9"/>
  <c r="G16" i="9"/>
  <c r="G15" i="9"/>
  <c r="G14" i="9"/>
  <c r="G13" i="9"/>
  <c r="G12" i="9"/>
  <c r="G8" i="9"/>
  <c r="G7" i="9"/>
  <c r="G6" i="9"/>
  <c r="G5" i="9"/>
  <c r="G4" i="9"/>
  <c r="G3" i="9"/>
  <c r="G2" i="9"/>
  <c r="G13" i="8"/>
  <c r="G15" i="8"/>
  <c r="G14" i="8"/>
  <c r="G12" i="8"/>
  <c r="G11" i="8"/>
  <c r="G10" i="8"/>
  <c r="G9" i="8"/>
  <c r="G8" i="8"/>
  <c r="G7" i="8"/>
  <c r="G6" i="8"/>
  <c r="G5" i="8"/>
  <c r="G4" i="8"/>
  <c r="G3" i="8"/>
  <c r="G2" i="8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G16" i="7" s="1"/>
  <c r="G11" i="6"/>
  <c r="G10" i="6"/>
  <c r="G9" i="6"/>
  <c r="G13" i="6"/>
  <c r="G14" i="6"/>
  <c r="G15" i="6"/>
  <c r="G19" i="6"/>
  <c r="G18" i="6"/>
  <c r="G17" i="6"/>
  <c r="G16" i="6"/>
  <c r="G12" i="6"/>
  <c r="G8" i="6"/>
  <c r="G7" i="6"/>
  <c r="G6" i="6"/>
  <c r="G5" i="6"/>
  <c r="G4" i="6"/>
  <c r="G3" i="6"/>
  <c r="G2" i="6"/>
  <c r="G20" i="6" s="1"/>
  <c r="G13" i="5"/>
  <c r="G10" i="5"/>
  <c r="G2" i="5"/>
  <c r="G3" i="5"/>
  <c r="G4" i="5"/>
  <c r="G5" i="5"/>
  <c r="G6" i="5"/>
  <c r="G7" i="5"/>
  <c r="G8" i="5"/>
  <c r="G9" i="5"/>
  <c r="G11" i="5"/>
  <c r="G12" i="5"/>
  <c r="G14" i="5"/>
  <c r="G15" i="4"/>
  <c r="G12" i="4"/>
  <c r="G8" i="4"/>
  <c r="G6" i="4"/>
  <c r="G14" i="4"/>
  <c r="G13" i="4"/>
  <c r="G11" i="4"/>
  <c r="G10" i="4"/>
  <c r="G9" i="4"/>
  <c r="G7" i="4"/>
  <c r="G5" i="4"/>
  <c r="G4" i="4"/>
  <c r="G3" i="4"/>
  <c r="G2" i="4"/>
  <c r="G16" i="4" s="1"/>
  <c r="G11" i="3"/>
  <c r="G10" i="3"/>
  <c r="G9" i="3"/>
  <c r="G8" i="3"/>
  <c r="G7" i="3"/>
  <c r="G6" i="3"/>
  <c r="G5" i="3"/>
  <c r="G4" i="3"/>
  <c r="G3" i="3"/>
  <c r="G2" i="3"/>
  <c r="G13" i="3"/>
  <c r="J18" i="2"/>
  <c r="J17" i="2"/>
  <c r="J16" i="2"/>
  <c r="J15" i="2"/>
  <c r="J14" i="2"/>
  <c r="J13" i="2"/>
  <c r="J12" i="2"/>
  <c r="J11" i="2"/>
  <c r="J10" i="2"/>
  <c r="J9" i="2"/>
  <c r="J8" i="2"/>
  <c r="J7" i="2"/>
  <c r="I5" i="1"/>
  <c r="I6" i="1"/>
  <c r="I7" i="1"/>
  <c r="I8" i="1"/>
  <c r="I9" i="1"/>
  <c r="I10" i="1"/>
  <c r="I11" i="1"/>
  <c r="I12" i="1"/>
  <c r="I4" i="1"/>
  <c r="I14" i="1"/>
  <c r="G16" i="8"/>
  <c r="G18" i="9"/>
  <c r="F22" i="23" l="1"/>
  <c r="E2" i="18"/>
  <c r="F2" i="18" s="1"/>
  <c r="F5" i="18" s="1"/>
  <c r="F2" i="16"/>
  <c r="F17" i="16"/>
  <c r="F22" i="13"/>
  <c r="G13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Milan Patel</author>
  </authors>
  <commentList>
    <comment ref="E13" authorId="0" shapeId="0" xr:uid="{2B335FA8-8498-4CE3-888A-BA516FC38A72}">
      <text>
        <r>
          <rPr>
            <sz val="11"/>
            <color theme="1"/>
            <rFont val="Calibri"/>
            <charset val="134"/>
            <scheme val="minor"/>
          </rPr>
          <t>Price not found in previous sheets — to be added</t>
        </r>
      </text>
    </comment>
    <comment ref="E14" authorId="0" shapeId="0" xr:uid="{4167B24C-14CA-45DD-8896-5D5BD2E9F935}">
      <text>
        <r>
          <rPr>
            <sz val="11"/>
            <color theme="1"/>
            <rFont val="Calibri"/>
            <charset val="134"/>
            <scheme val="minor"/>
          </rPr>
          <t>Source: 15.04.26 sheet, Plum @ €2.42/kg</t>
        </r>
      </text>
    </comment>
    <comment ref="E15" authorId="0" shapeId="0" xr:uid="{4C87593F-E163-47C8-9F76-997214C654D3}">
      <text>
        <r>
          <rPr>
            <sz val="11"/>
            <color theme="1"/>
            <rFont val="Calibri"/>
            <charset val="134"/>
            <scheme val="minor"/>
          </rPr>
          <t>Price not found in previous sheets — to be added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Milan Patel</author>
  </authors>
  <commentList>
    <comment ref="E4" authorId="0" shapeId="0" xr:uid="{075379C1-27CD-4A3B-968C-B48C9475A0AD}">
      <text>
        <r>
          <rPr>
            <sz val="11"/>
            <color theme="1"/>
            <rFont val="Calibri"/>
            <charset val="134"/>
            <scheme val="minor"/>
          </rPr>
          <t>Pain au chocolat not on 06.05.26 — pulled from 04.05.26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Milan Patel</author>
  </authors>
  <commentList>
    <comment ref="E3" authorId="0" shapeId="0" xr:uid="{08531798-895D-4837-AB4A-90E5104439AA}">
      <text>
        <r>
          <rPr>
            <sz val="11"/>
            <color theme="1"/>
            <rFont val="Calibri"/>
            <charset val="134"/>
            <scheme val="minor"/>
          </rPr>
          <t>Price not found in previous sheets — to be added</t>
        </r>
      </text>
    </comment>
    <comment ref="E4" authorId="0" shapeId="0" xr:uid="{6570E671-6C3D-44C4-9B80-62F2D6B437C1}">
      <text>
        <r>
          <rPr>
            <sz val="11"/>
            <color theme="1"/>
            <rFont val="Calibri"/>
            <charset val="134"/>
            <scheme val="minor"/>
          </rPr>
          <t>Source: 04.05.26 Chocolate Muffins price (€0.79/pc); same price for blueberry per 04.05.26</t>
        </r>
      </text>
    </comment>
    <comment ref="E5" authorId="0" shapeId="0" xr:uid="{C3A7BED5-90B6-48C6-A88A-3015495E97F8}">
      <text>
        <r>
          <rPr>
            <sz val="11"/>
            <color theme="1"/>
            <rFont val="Calibri"/>
            <charset val="134"/>
            <scheme val="minor"/>
          </rPr>
          <t>Price not found in previous sheets — to be added</t>
        </r>
      </text>
    </comment>
    <comment ref="E9" authorId="0" shapeId="0" xr:uid="{12AAA117-C8FD-465B-B82B-450B08D6FBD7}">
      <text>
        <r>
          <rPr>
            <sz val="11"/>
            <color theme="1"/>
            <rFont val="Calibri"/>
            <charset val="134"/>
            <scheme val="minor"/>
          </rPr>
          <t>Unit changed from pkt (04.05.26) to kg — price needs to be added</t>
        </r>
      </text>
    </comment>
    <comment ref="E10" authorId="0" shapeId="0" xr:uid="{F79FF66F-8F2B-4CA5-A76B-1DEDF82CB7E8}">
      <text>
        <r>
          <rPr>
            <sz val="11"/>
            <color theme="1"/>
            <rFont val="Calibri"/>
            <charset val="134"/>
            <scheme val="minor"/>
          </rPr>
          <t>Unit changed from Bag (04.05.26 = €7.99/5kg bag ≈ €1.60/kg) to kg — confirm price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Milan Patel</author>
  </authors>
  <commentList>
    <comment ref="E4" authorId="0" shapeId="0" xr:uid="{908DB853-0BBC-4F13-9E82-2567C758C518}">
      <text>
        <r>
          <rPr>
            <sz val="11"/>
            <color theme="1"/>
            <rFont val="Calibri"/>
            <charset val="134"/>
            <scheme val="minor"/>
          </rPr>
          <t>Muffins not on 05.05.26 — pulled from 06.05.26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Milan Patel</author>
  </authors>
  <commentList>
    <comment ref="E4" authorId="0" shapeId="0" xr:uid="{6F4DC28E-6785-4BBC-96D2-0139E54F3263}">
      <text>
        <r>
          <rPr>
            <sz val="11"/>
            <color theme="1"/>
            <rFont val="Calibri"/>
            <charset val="134"/>
            <scheme val="minor"/>
          </rPr>
          <t>Muffins not on 05.05.26 — pulled from 06.05.26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Milan Patel</author>
  </authors>
  <commentList>
    <comment ref="E2" authorId="0" shapeId="0" xr:uid="{4F2BA3A2-1FD7-46CA-8681-36BF7CC18CA4}">
      <text>
        <r>
          <rPr>
            <sz val="11"/>
            <color theme="1"/>
            <rFont val="Calibri"/>
            <charset val="134"/>
            <scheme val="minor"/>
          </rPr>
          <t>Source: Bella &amp; Bona Stock Report 11.05.26 — Cookie Double Belgian Choc EP 75g €66.73 / 66 pieces = €1.01/pc</t>
        </r>
      </text>
    </comment>
    <comment ref="E3" authorId="0" shapeId="0" xr:uid="{63344DC7-2861-48FC-9632-7EEF95580924}">
      <text>
        <r>
          <rPr>
            <sz val="11"/>
            <color theme="1"/>
            <rFont val="Calibri"/>
            <charset val="134"/>
            <scheme val="minor"/>
          </rPr>
          <t>Source: Bella &amp; Bona Stock Report 11.05.26 — Cookies Baked Triple Chocolate 72g €44.48 / 48 pieces = €0.93/pc</t>
        </r>
      </text>
    </comment>
    <comment ref="E7" authorId="0" shapeId="0" xr:uid="{8F8DA563-E6D9-46D8-9A2F-5FF8EA93B1F2}">
      <text>
        <r>
          <rPr>
            <sz val="11"/>
            <color theme="1"/>
            <rFont val="Calibri"/>
            <charset val="134"/>
            <scheme val="minor"/>
          </rPr>
          <t>Same as Chocolate Muffins per 06.05.26 / 04.05.26</t>
        </r>
      </text>
    </comment>
    <comment ref="E12" authorId="0" shapeId="0" xr:uid="{23595DC3-8856-4B12-AFF0-BECB451124CB}">
      <text>
        <r>
          <rPr>
            <sz val="11"/>
            <color theme="1"/>
            <rFont val="Calibri"/>
            <charset val="134"/>
            <scheme val="minor"/>
          </rPr>
          <t>Source: Bella &amp; Bona Stock Report 11.05.26 — Orange 3 kg €9.82 / (2 × 3 kg) = €1.64/kg. Sheet1 specifies unit kg.</t>
        </r>
      </text>
    </comment>
    <comment ref="E14" authorId="0" shapeId="0" xr:uid="{829700C8-5E30-4BF4-A8FE-20D90592B244}">
      <text>
        <r>
          <rPr>
            <sz val="11"/>
            <color theme="1"/>
            <rFont val="Calibri"/>
            <charset val="134"/>
            <scheme val="minor"/>
          </rPr>
          <t>Source: Bella &amp; Bona Stock Report 11.05.26 — Fresh Ginger Root 200 g €1.90/pack → €9.50/kg. Sheet1 requested 0.2 kg.</t>
        </r>
      </text>
    </comment>
    <comment ref="E21" authorId="0" shapeId="0" xr:uid="{7533B592-5F8E-42B9-A5D3-1E89A814C7F0}">
      <text>
        <r>
          <rPr>
            <sz val="11"/>
            <color theme="1"/>
            <rFont val="Calibri"/>
            <charset val="134"/>
            <scheme val="minor"/>
          </rPr>
          <t>Source: Bella &amp; Bona Stock Report 11.05.26 — Yeah Blend Green Matcha Latte 250 g €16.53/pack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Milan Patel</author>
  </authors>
  <commentList>
    <comment ref="E3" authorId="0" shapeId="0" xr:uid="{922F8D92-5BDF-4CEC-9F30-EDAF5F336664}">
      <text>
        <r>
          <rPr>
            <sz val="11"/>
            <color theme="1"/>
            <rFont val="Calibri"/>
            <charset val="134"/>
            <scheme val="minor"/>
          </rPr>
          <t>Pistachio Croissants not on 11.05.26 — pulled from 06.05.26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Milan Patel</author>
  </authors>
  <commentList>
    <comment ref="E7" authorId="0" shapeId="0" xr:uid="{C4893B75-99E6-4E62-84E7-F02F3A3172DA}">
      <text>
        <r>
          <rPr>
            <sz val="11"/>
            <color theme="1"/>
            <rFont val="Calibri"/>
            <charset val="134"/>
            <scheme val="minor"/>
          </rPr>
          <t>Source: Revolut Pantry / Bella Bona stock report 2026-05-19 — Pain au Chocolat 75g 70-piece carton @ €42.70 = €0.61/pc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Milan Patel</author>
  </authors>
  <commentList>
    <comment ref="E7" authorId="0" shapeId="0" xr:uid="{0713E2A2-16F4-48D4-BA6A-88DD033FDB19}">
      <text>
        <r>
          <rPr>
            <sz val="11"/>
            <color theme="1"/>
            <rFont val="Calibri"/>
            <charset val="134"/>
            <scheme val="minor"/>
          </rPr>
          <t>Source: Revolut Pantry / Bella Bona stock report 2026-05-19 — Pain au Chocolat 75g 70-piece carton @ €42.70 = €0.61/pc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Milan Patel</author>
  </authors>
  <commentList>
    <comment ref="E4" authorId="0" shapeId="0" xr:uid="{5D23584D-4A2D-4A2D-B1B3-527EC6822E66}">
      <text>
        <r>
          <rPr>
            <sz val="11"/>
            <color theme="1"/>
            <rFont val="Calibri"/>
            <charset val="134"/>
            <scheme val="minor"/>
          </rPr>
          <t>Source: Bella Bona Stock Report 2026-05-28 — Cookie Double Belgian Choc EP 75g x (66 piece) @ €66.73/carton = €1.01/pc</t>
        </r>
      </text>
    </comment>
    <comment ref="E5" authorId="0" shapeId="0" xr:uid="{A1541E36-0BDF-4378-813B-4AA59E86CC24}">
      <text>
        <r>
          <rPr>
            <sz val="11"/>
            <color theme="1"/>
            <rFont val="Calibri"/>
            <charset val="134"/>
            <scheme val="minor"/>
          </rPr>
          <t>Source: Bella Bona Stock Report 2026-05-28 — Cookies Baked Triple Chocolate 72g x (48 piece) @ €88.96/96 pcs = €0.93/pc</t>
        </r>
      </text>
    </comment>
    <comment ref="E6" authorId="0" shapeId="0" xr:uid="{5420EACF-44F1-453A-A817-A524D7DE8AEA}">
      <text>
        <r>
          <rPr>
            <sz val="11"/>
            <color theme="1"/>
            <rFont val="Calibri"/>
            <charset val="134"/>
            <scheme val="minor"/>
          </rPr>
          <t>Source: Prior delivery sheet 18.05.26 — Croissants @ €0.67/pc (not in current Bella Bona stock report at matching size)</t>
        </r>
      </text>
    </comment>
    <comment ref="E7" authorId="0" shapeId="0" xr:uid="{5570B0E7-220C-40AD-9F59-278338C12BF4}">
      <text>
        <r>
          <rPr>
            <sz val="11"/>
            <color theme="1"/>
            <rFont val="Calibri"/>
            <charset val="134"/>
            <scheme val="minor"/>
          </rPr>
          <t>Source: Bella Bona Stock Report 2026-05-28 — Pain au Chocolat 75g (70 piece) @ €85.40/140 pcs = €0.61/pc</t>
        </r>
      </text>
    </comment>
    <comment ref="E8" authorId="0" shapeId="0" xr:uid="{3385D9E0-580C-45AF-8FB8-5CD6989199D2}">
      <text>
        <r>
          <rPr>
            <sz val="11"/>
            <color theme="1"/>
            <rFont val="Calibri"/>
            <charset val="134"/>
            <scheme val="minor"/>
          </rPr>
          <t>Source: Bella Bona Stock Report 2026-05-28 — Double Chocolate Muffins 12 piece @ €53.96/48 pcs = €1.12/pc</t>
        </r>
      </text>
    </comment>
    <comment ref="E9" authorId="0" shapeId="0" xr:uid="{870878BB-DE5B-497A-8AC3-9A0C360B05FB}">
      <text>
        <r>
          <rPr>
            <sz val="11"/>
            <color theme="1"/>
            <rFont val="Calibri"/>
            <charset val="134"/>
            <scheme val="minor"/>
          </rPr>
          <t>Source: Prior delivery / estimate — Almond croissants typically €1.10-€1.30/pc (not in current Bella Bona stock report)</t>
        </r>
      </text>
    </comment>
    <comment ref="E10" authorId="0" shapeId="0" xr:uid="{65F09432-AF89-4972-BB79-33FE0DF847E9}">
      <text>
        <r>
          <rPr>
            <sz val="11"/>
            <color theme="1"/>
            <rFont val="Calibri"/>
            <charset val="134"/>
            <scheme val="minor"/>
          </rPr>
          <t>Source: Bella Bona Stock Report 2026-05-28 — RIOBA Blueberry Muffins 100 g @ €117.50/105 pcs = €1.12/pc</t>
        </r>
      </text>
    </comment>
    <comment ref="E11" authorId="0" shapeId="0" xr:uid="{96021A37-8F9D-4F30-A6C0-2454EDAF7770}">
      <text>
        <r>
          <rPr>
            <sz val="11"/>
            <color theme="1"/>
            <rFont val="Calibri"/>
            <charset val="134"/>
            <scheme val="minor"/>
          </rPr>
          <t>Source: Bella Bona Stock Report 2026-05-28 — Bananas 1 kg @ €49.59/30.21 kg = €1.64/kg</t>
        </r>
      </text>
    </comment>
    <comment ref="E12" authorId="0" shapeId="0" xr:uid="{014A88D7-0E74-49E8-B7E1-AC006802F9BF}">
      <text>
        <r>
          <rPr>
            <sz val="11"/>
            <color theme="1"/>
            <rFont val="Calibri"/>
            <charset val="134"/>
            <scheme val="minor"/>
          </rPr>
          <t>Source: Bella Bona Stock Report 2026-05-28 — Apple 1 kg @ €34.95/32 kg = €1.09/kg</t>
        </r>
      </text>
    </comment>
    <comment ref="E13" authorId="0" shapeId="0" xr:uid="{BE9A60B6-B277-439C-909C-A27333C8C871}">
      <text>
        <r>
          <rPr>
            <sz val="11"/>
            <color theme="1"/>
            <rFont val="Calibri"/>
            <charset val="134"/>
            <scheme val="minor"/>
          </rPr>
          <t>Source: Bella Bona Stock Report 2026-05-28 — Pear 1 kg @ €20.00/9 kg = €2.22/kg</t>
        </r>
      </text>
    </comment>
    <comment ref="E14" authorId="0" shapeId="0" xr:uid="{F0090843-5285-45CF-8789-72B3585FD990}">
      <text>
        <r>
          <rPr>
            <sz val="11"/>
            <color theme="1"/>
            <rFont val="Calibri"/>
            <charset val="134"/>
            <scheme val="minor"/>
          </rPr>
          <t>Source: Bella Bona Stock Report 2026-05-28 — Grapes Green Seedless 500 g @ €40.52/17 packs = €2.38/pack = €4.77/kg</t>
        </r>
      </text>
    </comment>
    <comment ref="E15" authorId="0" shapeId="0" xr:uid="{EC16EA61-6A92-4CFF-85D9-6AEDFD700C68}">
      <text>
        <r>
          <rPr>
            <sz val="11"/>
            <color theme="1"/>
            <rFont val="Calibri"/>
            <charset val="134"/>
            <scheme val="minor"/>
          </rPr>
          <t>Source: Bella Bona Stock Report 2026-05-28 — Orange 3 kg box @ €69.21/14 boxes = €4.94/box = €1.65/kg</t>
        </r>
      </text>
    </comment>
    <comment ref="E16" authorId="0" shapeId="0" xr:uid="{62099243-BD2A-4DC1-8025-1BFDF47ECE38}">
      <text>
        <r>
          <rPr>
            <sz val="11"/>
            <color theme="1"/>
            <rFont val="Calibri"/>
            <charset val="134"/>
            <scheme val="minor"/>
          </rPr>
          <t>Source: Bella Bona Stock Report 2026-05-28 — Lemons 1.5 kg @ €39.52/8 packs = €4.94/pack (1.5 kg) = €3.29/kg</t>
        </r>
      </text>
    </comment>
    <comment ref="E17" authorId="0" shapeId="0" xr:uid="{AE2E763B-2B8C-402A-9E6C-67C5BEBBCE44}">
      <text>
        <r>
          <rPr>
            <sz val="11"/>
            <color theme="1"/>
            <rFont val="Calibri"/>
            <charset val="134"/>
            <scheme val="minor"/>
          </rPr>
          <t>Source: Bella Bona Stock Report 2026-05-28 — Fresh Ginger Root 200 g @ €16.74/10 packs = €1.67/pack (200 g) = €8.37/kg</t>
        </r>
      </text>
    </comment>
    <comment ref="E18" authorId="0" shapeId="0" xr:uid="{9F463AA0-49E4-4E89-85DD-4C02BCDBA844}">
      <text>
        <r>
          <rPr>
            <sz val="11"/>
            <color theme="1"/>
            <rFont val="Calibri"/>
            <charset val="134"/>
            <scheme val="minor"/>
          </rPr>
          <t>Source: Bella Bona Stock Report 2026-05-28 — Cherry Tomatoes 1 kg @ €291.81/61 kg = €4.78/kg</t>
        </r>
      </text>
    </comment>
    <comment ref="E19" authorId="0" shapeId="0" xr:uid="{19209FC8-102B-4634-ADE6-5791C446F75E}">
      <text>
        <r>
          <rPr>
            <sz val="11"/>
            <color theme="1"/>
            <rFont val="Calibri"/>
            <charset val="134"/>
            <scheme val="minor"/>
          </rPr>
          <t>Source: Prior delivery sheet 18.05.26 — Sliced cucumber @ €2.64/kg (Bella Bona stock shows whole Cucumber 1 piece @ €0.73 only)</t>
        </r>
      </text>
    </comment>
    <comment ref="E20" authorId="0" shapeId="0" xr:uid="{7B5BEEF8-95C4-4790-88FE-E9C7D62B308D}">
      <text>
        <r>
          <rPr>
            <sz val="11"/>
            <color theme="1"/>
            <rFont val="Calibri"/>
            <charset val="134"/>
            <scheme val="minor"/>
          </rPr>
          <t>Source: Bella Bona Stock Report 2026-05-28 — Red Bell Pepper Kiste Fresh 1 kg @ €307.22/100 kg = €3.07/kg</t>
        </r>
      </text>
    </comment>
    <comment ref="E21" authorId="0" shapeId="0" xr:uid="{37DD6E55-BE88-47E1-979A-37634120A74E}">
      <text>
        <r>
          <rPr>
            <sz val="11"/>
            <color theme="1"/>
            <rFont val="Calibri"/>
            <charset val="134"/>
            <scheme val="minor"/>
          </rPr>
          <t>Source: Bella Bona Stock Report 2026-05-28 — Milk 1000 ml @ €45.36/56 = €0.81/L</t>
        </r>
      </text>
    </comment>
    <comment ref="E22" authorId="0" shapeId="0" xr:uid="{9C539D37-7559-4675-AFFA-6E0713C18D65}">
      <text>
        <r>
          <rPr>
            <sz val="11"/>
            <color theme="1"/>
            <rFont val="Calibri"/>
            <charset val="134"/>
            <scheme val="minor"/>
          </rPr>
          <t>Source: Bella Bona Stock Report 2026-05-28 — Alpro Barista Haferdrink/Soja closest match @ €42.72/24 = €1.78/L (Alpro Soya Cuisine out of stock)</t>
        </r>
      </text>
    </comment>
    <comment ref="E23" authorId="0" shapeId="0" xr:uid="{1D45A021-CFFE-49D8-82B9-1D6EBD5A1D93}">
      <text>
        <r>
          <rPr>
            <sz val="11"/>
            <color theme="1"/>
            <rFont val="Calibri"/>
            <charset val="134"/>
            <scheme val="minor"/>
          </rPr>
          <t>Source: Bella Bona Stock Report 2026-05-28 — Alpro Barista Mandel 1 l @ €19.90/10 = €1.99/L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Milan Patel</author>
  </authors>
  <commentList>
    <comment ref="E4" authorId="0" shapeId="0" xr:uid="{5E8115F5-3098-4173-8E34-89EC365BFE9B}">
      <text>
        <r>
          <rPr>
            <sz val="11"/>
            <color theme="1"/>
            <rFont val="Calibri"/>
            <charset val="134"/>
            <scheme val="minor"/>
          </rPr>
          <t>Source: Prior delivery sheet 26.05.26 — Croissants @ €0.67/pc</t>
        </r>
      </text>
    </comment>
    <comment ref="E5" authorId="0" shapeId="0" xr:uid="{745D9A2F-3875-408B-97F0-5BCE0726ED27}">
      <text>
        <r>
          <rPr>
            <sz val="11"/>
            <color theme="1"/>
            <rFont val="Calibri"/>
            <charset val="134"/>
            <scheme val="minor"/>
          </rPr>
          <t>Source: Prior delivery sheet 26.05.26 — Almond Croissants @ €1.20/pc (estimate, not in Bella Bona stock report)</t>
        </r>
      </text>
    </comment>
    <comment ref="E6" authorId="0" shapeId="0" xr:uid="{9DDB87DA-27A1-4537-82E3-7059A830CE69}">
      <text>
        <r>
          <rPr>
            <sz val="11"/>
            <color theme="1"/>
            <rFont val="Calibri"/>
            <charset val="134"/>
            <scheme val="minor"/>
          </rPr>
          <t>Source: Bella Bona Stock Report 2026-05-28 — Croissant Pistachio 95g x (50 piece) @ €16.81/0.5 carton = €33.62/carton = €0.67/pc</t>
        </r>
      </text>
    </comment>
    <comment ref="E7" authorId="0" shapeId="0" xr:uid="{8AA57E6A-EC1A-48E8-910D-1FFC6E72DF80}">
      <text>
        <r>
          <rPr>
            <sz val="11"/>
            <color theme="1"/>
            <rFont val="Calibri"/>
            <charset val="134"/>
            <scheme val="minor"/>
          </rPr>
          <t>Source: Bella Bona Stock Report 2026-05-28 — Pain au Chocolat 75g (70 piece) @ €85.40/140 pcs = €0.61/pc</t>
        </r>
      </text>
    </comment>
    <comment ref="E8" authorId="0" shapeId="0" xr:uid="{BB18672B-E60E-4466-8B32-B4754B247215}">
      <text>
        <r>
          <rPr>
            <sz val="11"/>
            <color theme="1"/>
            <rFont val="Calibri"/>
            <charset val="134"/>
            <scheme val="minor"/>
          </rPr>
          <t>Source: Prior delivery sheet 26.05.26 — Almond Croissants @ €1.20/pc (estimate, not in Bella Bona stock report)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Milan Patel</author>
  </authors>
  <commentList>
    <comment ref="E4" authorId="0" shapeId="0" xr:uid="{1DEDC070-1960-4093-BD7B-820D903A08BD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Cookie Double Belgian Choc EP 75g x (66 piece) @ €66.73/carton = €1.01/pc</t>
        </r>
      </text>
    </comment>
    <comment ref="E5" authorId="0" shapeId="0" xr:uid="{0DF2221B-1E90-4699-8EBD-98B56037E202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Cookies Baked Triple Chocolate 72g x (48 piece) @ €44.48/48 pcs = €0.93/pc</t>
        </r>
      </text>
    </comment>
    <comment ref="E6" authorId="0" shapeId="0" xr:uid="{777A17EF-89D8-4A3F-8DEA-46D21055DA0E}">
      <text>
        <r>
          <rPr>
            <sz val="11"/>
            <color theme="1"/>
            <rFont val="Calibri"/>
            <charset val="134"/>
            <scheme val="minor"/>
          </rPr>
          <t>Source: Prior delivery sheet 18.05.26 — Croissants @ €0.67/pc (not in current Bella Bona stock report at matching size)</t>
        </r>
      </text>
    </comment>
    <comment ref="E7" authorId="0" shapeId="0" xr:uid="{34D10D9E-D634-4327-B3AB-EE7A20CD8A01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Pain au Chocolat 75g x (20 piece) @ €11.60/20 pcs = €0.58/pc; matched to 26.05 €0.61/pc</t>
        </r>
      </text>
    </comment>
    <comment ref="E8" authorId="0" shapeId="0" xr:uid="{27FA5C18-4FA3-49F9-A316-9FBAB7D5B737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Double Chocolate Muffins 12 piece @ €13.49/12 pcs = €1.12/pc</t>
        </r>
      </text>
    </comment>
    <comment ref="E9" authorId="0" shapeId="0" xr:uid="{A3171AE1-C735-4C90-8110-BAA94B820915}">
      <text>
        <r>
          <rPr>
            <sz val="11"/>
            <color theme="1"/>
            <rFont val="Calibri"/>
            <charset val="134"/>
            <scheme val="minor"/>
          </rPr>
          <t>Source: Estimate — Almond croissants typically €1.10-€1.30/pc (not in current Bella Bona stock report)</t>
        </r>
      </text>
    </comment>
    <comment ref="E10" authorId="0" shapeId="0" xr:uid="{065BA759-C23A-476B-B6C2-2B03FF058057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RIOBA Blueberry Muffins 100 g @ €1.12/pc</t>
        </r>
      </text>
    </comment>
    <comment ref="E11" authorId="0" shapeId="0" xr:uid="{CB50BBCC-339F-4148-BCFF-7B28D350456D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Bananas 1 kg @ €1.64/kg</t>
        </r>
      </text>
    </comment>
    <comment ref="E12" authorId="0" shapeId="0" xr:uid="{D63C011F-3427-41F8-B834-12848A5FF63D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Apple 1 kg @ €1.54/kg</t>
        </r>
      </text>
    </comment>
    <comment ref="E13" authorId="0" shapeId="0" xr:uid="{F1B04D72-3FAF-410F-9525-123CDF765786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Pear 1 kg @ €2.22/kg</t>
        </r>
      </text>
    </comment>
    <comment ref="E14" authorId="0" shapeId="0" xr:uid="{CCEFCB1C-EE03-4F86-AB85-8DF59348DA7A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Grapes Green Seedless 500 g @ €2.38/pack = €4.77/kg</t>
        </r>
      </text>
    </comment>
    <comment ref="E15" authorId="0" shapeId="0" xr:uid="{03C7CA36-5D52-46BF-8089-33512390BC84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Orange 3 kg box @ €4.94/box = €1.65/kg</t>
        </r>
      </text>
    </comment>
    <comment ref="E16" authorId="0" shapeId="0" xr:uid="{9B29F124-E078-4146-B8E8-D77C4498FDEC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Lemons 1.5 kg pack @ €4.94/pack = €3.29/kg</t>
        </r>
      </text>
    </comment>
    <comment ref="E17" authorId="0" shapeId="0" xr:uid="{600A8CB8-DC43-47A2-83E4-366DA4A7AB0D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Fresh Ginger Root 200 g @ €1.67/pack = €8.37/kg</t>
        </r>
      </text>
    </comment>
    <comment ref="E18" authorId="0" shapeId="0" xr:uid="{33DD1C78-1A12-4EAB-BA7A-48779C4612FE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Cherry Tomatoes 1 kg @ €4.69-4.78/kg</t>
        </r>
      </text>
    </comment>
    <comment ref="E19" authorId="0" shapeId="0" xr:uid="{52D56298-7CC7-4346-83E6-D46CEC06B8FB}">
      <text>
        <r>
          <rPr>
            <sz val="11"/>
            <color theme="1"/>
            <rFont val="Calibri"/>
            <charset val="134"/>
            <scheme val="minor"/>
          </rPr>
          <t>Source: Prior delivery sheet 18.05.26 — Sliced cucumber @ €2.64/kg (stock shows whole Cucumber only)</t>
        </r>
      </text>
    </comment>
    <comment ref="E20" authorId="0" shapeId="0" xr:uid="{58FB5AA1-C84C-4A3C-96F9-B3D7ED12681A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Red Bell Pepper Fresh 1 kg @ €3.07/kg</t>
        </r>
      </text>
    </comment>
    <comment ref="E21" authorId="0" shapeId="0" xr:uid="{01927635-8097-4870-8CC5-E48B749513C2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Oat milk 1 l @ €1.44/L</t>
        </r>
      </text>
    </comment>
    <comment ref="E22" authorId="0" shapeId="0" xr:uid="{4996C42D-7C54-40E5-84D9-DBEDD238053F}">
      <text>
        <r>
          <rPr>
            <sz val="11"/>
            <color theme="1"/>
            <rFont val="Calibri"/>
            <charset val="134"/>
            <scheme val="minor"/>
          </rPr>
          <t>Source: Estimate — disposable gloves not listed in Bella Bona stock report; placeholder €5.00/box, please confirm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Milan Patel</author>
  </authors>
  <commentList>
    <comment ref="E4" authorId="0" shapeId="0" xr:uid="{8ECA6D49-3604-4D9E-93BE-A6006AE5977A}">
      <text>
        <r>
          <rPr>
            <sz val="11"/>
            <color theme="1"/>
            <rFont val="Calibri"/>
            <charset val="134"/>
            <scheme val="minor"/>
          </rPr>
          <t>Source: Prior delivery sheet 18.05.26 — Croissants @ €0.67/pc (not in current Bella Bona stock report at matching size)</t>
        </r>
      </text>
    </comment>
    <comment ref="E5" authorId="0" shapeId="0" xr:uid="{C9101A4F-62D2-407B-AB65-138308BE93B6}">
      <text>
        <r>
          <rPr>
            <sz val="11"/>
            <color theme="1"/>
            <rFont val="Calibri"/>
            <charset val="134"/>
            <scheme val="minor"/>
          </rPr>
          <t>Source: Estimate — Almond croissants typically €1.10-€1.30/pc (not in current Bella Bona stock report)</t>
        </r>
      </text>
    </comment>
    <comment ref="E6" authorId="0" shapeId="0" xr:uid="{0B40BFFA-2E41-4E19-A045-E734B0DCB3A1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Croissant Pistazie "Rodrigo" 95g x (50 piece) @ €29.94/50 = €0.60/pc</t>
        </r>
      </text>
    </comment>
    <comment ref="E7" authorId="0" shapeId="0" xr:uid="{6EDD3849-AA6D-479A-89DE-73250FFBE04A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Pain au Chocolat 75g x (20 piece) @ €11.60/20 = €0.58/pc; matched to 26.05 €0.61/pc</t>
        </r>
      </text>
    </comment>
    <comment ref="E8" authorId="0" shapeId="0" xr:uid="{75E341F3-F399-4ED7-B9A7-DD398F367646}">
      <text>
        <r>
          <rPr>
            <sz val="11"/>
            <color theme="1"/>
            <rFont val="Calibri"/>
            <charset val="134"/>
            <scheme val="minor"/>
          </rPr>
          <t>Source: Estimate — Almond croissants typically €1.10-€1.30/pc (not in current Bella Bona stock report)</t>
        </r>
      </text>
    </comment>
    <comment ref="E10" authorId="0" shapeId="0" xr:uid="{3BE90848-BB4E-4530-AAF1-301CDCB08727}">
      <text>
        <r>
          <rPr>
            <sz val="11"/>
            <color theme="1"/>
            <rFont val="Calibri"/>
            <charset val="134"/>
            <scheme val="minor"/>
          </rPr>
          <t>Source: Bella Bona Stock Report 2026-05-28 — RIOBA Blueberry Muffins 100 g @ €117.50/105 pcs = €1.12/pc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Milan Patel</author>
  </authors>
  <commentList>
    <comment ref="E4" authorId="0" shapeId="0" xr:uid="{BDD86211-E210-4D33-B146-26E82EC561A7}">
      <text>
        <r>
          <rPr>
            <sz val="11"/>
            <color theme="1"/>
            <rFont val="Calibri"/>
            <charset val="134"/>
            <scheme val="minor"/>
          </rPr>
          <t>Source: Prior delivery sheet 18.05.26 — Croissants @ €0.67/pc (not in current Bella Bona stock report at matching size)</t>
        </r>
      </text>
    </comment>
    <comment ref="E5" authorId="0" shapeId="0" xr:uid="{1AAAB0AB-D934-4E8C-AE07-768D2AFE1038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Croissant Pistazie "Rodrigo" 95g x (50 piece) @ €29.94/50 = €0.60/pc</t>
        </r>
      </text>
    </comment>
    <comment ref="E6" authorId="0" shapeId="0" xr:uid="{683FD67B-8886-498B-8872-DC21BD37AE13}">
      <text>
        <r>
          <rPr>
            <sz val="11"/>
            <color theme="1"/>
            <rFont val="Calibri"/>
            <charset val="134"/>
            <scheme val="minor"/>
          </rPr>
          <t>Source: Estimate — Almond croissants typically €1.10-€1.30/pc (not in current Bella Bona stock report)</t>
        </r>
      </text>
    </comment>
    <comment ref="E7" authorId="0" shapeId="0" xr:uid="{DF4E8A7D-8FE9-470A-89AE-684D5247E944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Double Chocolate Muffins @ €1.12/pc &amp; RIOBA Blueberry Muffins @ €1.12/pc</t>
        </r>
      </text>
    </comment>
    <comment ref="E8" authorId="0" shapeId="0" xr:uid="{449A16B9-5080-485C-B623-067170D7282C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Bananas 1 kg @ €1.64/kg</t>
        </r>
      </text>
    </comment>
    <comment ref="E9" authorId="0" shapeId="0" xr:uid="{27EEAA90-F4CB-4BAE-8930-3C585FA297C4}">
      <text>
        <r>
          <rPr>
            <sz val="11"/>
            <color theme="1"/>
            <rFont val="Calibri"/>
            <charset val="134"/>
            <scheme val="minor"/>
          </rPr>
          <t>Source: Estimate (user-provided list) — Apricots out of stock in Bella Bona report; €3.95/kg, please confirm</t>
        </r>
      </text>
    </comment>
    <comment ref="E10" authorId="0" shapeId="0" xr:uid="{B6B6E059-A5B8-4CE2-9BA2-21A34D57059D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Apple 1 kg @ €1.54/kg</t>
        </r>
      </text>
    </comment>
    <comment ref="E11" authorId="0" shapeId="0" xr:uid="{F33171B8-7D8E-4146-8B58-3A6896BB6440}">
      <text>
        <r>
          <rPr>
            <sz val="11"/>
            <color theme="1"/>
            <rFont val="Calibri"/>
            <charset val="134"/>
            <scheme val="minor"/>
          </rPr>
          <t>Source: Estimate — fresh cherries not stocked in Bella Bona report; nearest Cherry Tomatoes @ €4.69/kg used as placeholder, please confirm</t>
        </r>
      </text>
    </comment>
    <comment ref="E12" authorId="0" shapeId="0" xr:uid="{8884778A-1ED4-4FE5-BAA2-CE3CCBD33E96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Strawberries 500 g @ €2.83/500g = €5.66/kg</t>
        </r>
      </text>
    </comment>
    <comment ref="E13" authorId="0" shapeId="0" xr:uid="{BDD911D0-0C4A-4579-9367-8A91440E2ED4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Grapes Green Seedless 500 g @ €2.38/pack = €4.77/kg</t>
        </r>
      </text>
    </comment>
    <comment ref="E14" authorId="0" shapeId="0" xr:uid="{76298DCF-03C1-4AD2-89E2-F6F735F4F178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Orange 3 kg box @ €4.94/box = €1.65/kg</t>
        </r>
      </text>
    </comment>
    <comment ref="E15" authorId="0" shapeId="0" xr:uid="{FD53EE8F-49BD-4747-8E4D-7B9BCC6ADE75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Fresh Ginger Root 200 g @ €1.67/pack = €8.37/kg</t>
        </r>
      </text>
    </comment>
    <comment ref="E16" authorId="0" shapeId="0" xr:uid="{120F702B-7594-4AB7-A934-28187F2C9669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Lemons 1.5 kg pack @ €4.94/pack = €3.29/kg</t>
        </r>
      </text>
    </comment>
    <comment ref="E17" authorId="0" shapeId="0" xr:uid="{45D8A378-85E2-40A0-A06B-1507A07F5285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Cherry Tomatoes 1 kg @ €4.69-4.78/kg</t>
        </r>
      </text>
    </comment>
    <comment ref="E18" authorId="0" shapeId="0" xr:uid="{9C4E563A-871E-4D19-AA70-7421E12D82B5}">
      <text>
        <r>
          <rPr>
            <sz val="11"/>
            <color theme="1"/>
            <rFont val="Calibri"/>
            <charset val="134"/>
            <scheme val="minor"/>
          </rPr>
          <t>Source: Prior delivery sheet 18.05.26 — Sliced cucumber @ €2.64/kg (stock shows whole Cucumber only)</t>
        </r>
      </text>
    </comment>
    <comment ref="E19" authorId="0" shapeId="0" xr:uid="{8D57FD01-2C80-484F-93B4-0B47B0C663A1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Red Bell Pepper Fresh 1 kg @ €3.07/kg</t>
        </r>
      </text>
    </comment>
    <comment ref="E21" authorId="0" shapeId="0" xr:uid="{38A8E399-C4D2-4F14-8AE4-1699A7F3721D}">
      <text>
        <r>
          <rPr>
            <sz val="11"/>
            <color theme="1"/>
            <rFont val="Calibri"/>
            <charset val="134"/>
            <scheme val="minor"/>
          </rPr>
          <t>Source: Bella Bona Stock Report 2026-05-28 — Milk 1000 ml @ €45.36/56 = €0.81/L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Milan Patel</author>
  </authors>
  <commentList>
    <comment ref="E4" authorId="0" shapeId="0" xr:uid="{683D77D9-460F-4BD2-8DBB-5715F2AC63F9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Cookie Double Belgian Choc EP 75g x (66 piece) @ €66.73/carton = €1.01/pc</t>
        </r>
      </text>
    </comment>
    <comment ref="E5" authorId="0" shapeId="0" xr:uid="{9E3E8008-06DC-487E-AA3C-9EB203C1296F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Cookies Baked Triple Chocolate 72g x (48 piece) @ €44.48/48 pcs = €0.93/pc</t>
        </r>
      </text>
    </comment>
    <comment ref="E6" authorId="0" shapeId="0" xr:uid="{E32B79E3-E3DA-4EF2-97CE-0AF22733CEC2}">
      <text>
        <r>
          <rPr>
            <sz val="11"/>
            <color theme="1"/>
            <rFont val="Calibri"/>
            <charset val="134"/>
            <scheme val="minor"/>
          </rPr>
          <t>Source: Prior delivery sheet 18.05.26 — Croissants @ €0.67/pc (not in current Bella Bona stock report at matching size)</t>
        </r>
      </text>
    </comment>
    <comment ref="E7" authorId="0" shapeId="0" xr:uid="{5C49ED3E-85CD-4D51-8625-956C718DCA7B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Pain au Chocolat 75g x (20 piece) @ €11.60/20 pcs = €0.58/pc; matched to 26.05 €0.61/pc</t>
        </r>
      </text>
    </comment>
    <comment ref="E8" authorId="0" shapeId="0" xr:uid="{E667D09F-F8D6-46F3-AF5B-767E17DBD418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Double Chocolate Muffins 12 piece @ €13.49/12 pcs = €1.12/pc</t>
        </r>
      </text>
    </comment>
    <comment ref="E9" authorId="0" shapeId="0" xr:uid="{77200113-1BB8-4B4F-A44C-545C23C42A54}">
      <text>
        <r>
          <rPr>
            <sz val="11"/>
            <color theme="1"/>
            <rFont val="Calibri"/>
            <charset val="134"/>
            <scheme val="minor"/>
          </rPr>
          <t>Source: Estimate — Almond croissants typically €1.10-€1.30/pc (not in current Bella Bona stock report)</t>
        </r>
      </text>
    </comment>
    <comment ref="E10" authorId="0" shapeId="0" xr:uid="{C80FD0A8-6B99-4989-AE82-BF2551F7A879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RIOBA Blueberry Muffins 100 g @ €1.12/pc</t>
        </r>
      </text>
    </comment>
    <comment ref="E11" authorId="0" shapeId="0" xr:uid="{3FAE27AC-4478-47B0-897B-E149ACA3DDB5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Bananas 1 kg @ €1.64/kg</t>
        </r>
      </text>
    </comment>
    <comment ref="E12" authorId="0" shapeId="0" xr:uid="{E9BACF26-32D0-48CC-B080-1175E9520DD7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Apple 1 kg @ €1.54/kg</t>
        </r>
      </text>
    </comment>
    <comment ref="E13" authorId="0" shapeId="0" xr:uid="{B8607695-349D-4A06-B94D-F462B3177875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Pear 1 kg @ €2.22/kg</t>
        </r>
      </text>
    </comment>
    <comment ref="E14" authorId="0" shapeId="0" xr:uid="{9A9D2EEE-0004-4540-A5C3-495151C97BC5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Grapes Green Seedless 500 g @ €2.38/pack = €4.77/kg</t>
        </r>
      </text>
    </comment>
    <comment ref="E15" authorId="0" shapeId="0" xr:uid="{137F656B-C8BF-4FBD-B50D-F5539ACFFEC9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Orange 3 kg box @ €4.94/box = €1.65/kg</t>
        </r>
      </text>
    </comment>
    <comment ref="E16" authorId="0" shapeId="0" xr:uid="{949B2D16-403B-482E-9B39-8BDAF3CAF8CA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Lemons 1.5 kg pack @ €4.94/pack = €3.29/kg</t>
        </r>
      </text>
    </comment>
    <comment ref="E17" authorId="0" shapeId="0" xr:uid="{779BC343-D612-4925-BE3B-7A90F64C9D2E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Fresh Ginger Root 200 g @ €1.67/pack = €8.37/kg</t>
        </r>
      </text>
    </comment>
    <comment ref="E18" authorId="0" shapeId="0" xr:uid="{686CE903-12D1-48EE-BBCF-34345A9AC92A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Cherry Tomatoes 1 kg @ €4.69-4.78/kg</t>
        </r>
      </text>
    </comment>
    <comment ref="E19" authorId="0" shapeId="0" xr:uid="{183370DB-3918-4E76-8CD1-B923F35B81D9}">
      <text>
        <r>
          <rPr>
            <sz val="11"/>
            <color theme="1"/>
            <rFont val="Calibri"/>
            <charset val="134"/>
            <scheme val="minor"/>
          </rPr>
          <t>Source: Prior delivery sheet 18.05.26 — Sliced cucumber @ €2.64/kg (stock shows whole Cucumber only)</t>
        </r>
      </text>
    </comment>
    <comment ref="E20" authorId="0" shapeId="0" xr:uid="{48DBDDE0-C26D-43B1-9544-9D0DDE69C8E5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Red Bell Pepper Fresh 1 kg @ €3.07/kg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Milan Patel</author>
  </authors>
  <commentList>
    <comment ref="E4" authorId="0" shapeId="0" xr:uid="{EC77098D-EED8-4A72-B668-DB28711C88BB}">
      <text>
        <r>
          <rPr>
            <sz val="11"/>
            <color theme="1"/>
            <rFont val="Calibri"/>
            <charset val="134"/>
            <scheme val="minor"/>
          </rPr>
          <t>Source: Prior delivery sheet 18.05.26 — Croissants @ €0.67/pc (not in current Bella Bona stock report at matching size)</t>
        </r>
      </text>
    </comment>
    <comment ref="E5" authorId="0" shapeId="0" xr:uid="{91674547-5C82-43FC-9381-11ABB702EA14}">
      <text>
        <r>
          <rPr>
            <sz val="11"/>
            <color theme="1"/>
            <rFont val="Calibri"/>
            <charset val="134"/>
            <scheme val="minor"/>
          </rPr>
          <t>Source: Estimate — Almond croissants typically €1.10-€1.30/pc (not in current Bella Bona stock report)</t>
        </r>
      </text>
    </comment>
    <comment ref="E6" authorId="0" shapeId="0" xr:uid="{111E0747-1EBB-46A1-A5AC-345ED8118B3E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Croissant Pistazie "Rodrigo" 95g x (50 piece) @ €29.94/50 = €0.60/pc</t>
        </r>
      </text>
    </comment>
    <comment ref="E7" authorId="0" shapeId="0" xr:uid="{0539CA79-7A46-41CC-ABEB-523C91CB90D5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Pain au Chocolat 75g x (20 piece) @ €11.60/20 = €0.58/pc; matched to 26.05 €0.61/pc</t>
        </r>
      </text>
    </comment>
    <comment ref="E8" authorId="0" shapeId="0" xr:uid="{4763BB87-8E9E-4FF8-8EB0-780E8E771B15}">
      <text>
        <r>
          <rPr>
            <sz val="11"/>
            <color theme="1"/>
            <rFont val="Calibri"/>
            <charset val="134"/>
            <scheme val="minor"/>
          </rPr>
          <t>Source: Estimate — Almond croissants typically €1.10-€1.30/pc (not in current Bella Bona stock report)</t>
        </r>
      </text>
    </comment>
    <comment ref="E10" authorId="0" shapeId="0" xr:uid="{ECCFB763-61BE-4107-B2B8-0178A6EEFA66}">
      <text>
        <r>
          <rPr>
            <sz val="11"/>
            <color theme="1"/>
            <rFont val="Calibri"/>
            <charset val="134"/>
            <scheme val="minor"/>
          </rPr>
          <t>Source: Bella Bona Stock Report 2026-05-28 — RIOBA Blueberry Muffins 100 g @ €117.50/105 pcs = €1.12/pc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Milan Patel</author>
  </authors>
  <commentList>
    <comment ref="E4" authorId="0" shapeId="0" xr:uid="{973B1C7B-ACA7-4780-8DC6-B5A1FAB14A13}">
      <text>
        <r>
          <rPr>
            <sz val="11"/>
            <color theme="1"/>
            <rFont val="Calibri"/>
            <charset val="134"/>
            <scheme val="minor"/>
          </rPr>
          <t>Source: Prior delivery sheet 18.05.26 — Croissants @ €0.67/pc (not in current Bella Bona stock report at matching size)</t>
        </r>
      </text>
    </comment>
    <comment ref="E5" authorId="0" shapeId="0" xr:uid="{31EBBF83-3E55-4D0E-9329-873178F06423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Croissant Pistazie "Rodrigo" 95g x (50 piece) @ €29.94/50 = €0.60/pc</t>
        </r>
      </text>
    </comment>
    <comment ref="E6" authorId="0" shapeId="0" xr:uid="{6A41618F-E886-4ED1-8BF6-1E4BFE3C24AB}">
      <text>
        <r>
          <rPr>
            <sz val="11"/>
            <color theme="1"/>
            <rFont val="Calibri"/>
            <charset val="134"/>
            <scheme val="minor"/>
          </rPr>
          <t>Source: Estimate — Almond croissants typically €1.10-€1.30/pc (not in current Bella Bona stock report)</t>
        </r>
      </text>
    </comment>
    <comment ref="E7" authorId="0" shapeId="0" xr:uid="{1A41EF3D-A928-4148-B17F-AE5CA649E7F7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Double Chocolate Muffins @ €1.12/pc &amp; RIOBA Blueberry Muffins @ €1.12/pc</t>
        </r>
      </text>
    </comment>
    <comment ref="E8" authorId="0" shapeId="0" xr:uid="{49444389-CC71-401F-9B6D-B173F793C5B9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Bananas 1 kg @ €1.64/kg</t>
        </r>
      </text>
    </comment>
    <comment ref="E9" authorId="0" shapeId="0" xr:uid="{BFBADED0-7381-48D8-9378-A9FBFE8EE90E}">
      <text>
        <r>
          <rPr>
            <sz val="11"/>
            <color theme="1"/>
            <rFont val="Calibri"/>
            <charset val="134"/>
            <scheme val="minor"/>
          </rPr>
          <t>Source: Estimate (user-provided list) — Apricots out of stock in Bella Bona report; €3.95/kg, please confirm</t>
        </r>
      </text>
    </comment>
    <comment ref="E10" authorId="0" shapeId="0" xr:uid="{01F56BF3-7F75-465E-82C1-BC2F8B7C924B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Apple 1 kg @ €1.54/kg</t>
        </r>
      </text>
    </comment>
    <comment ref="E11" authorId="0" shapeId="0" xr:uid="{13E32874-735E-4183-B1A0-B8F37254A0B6}">
      <text>
        <r>
          <rPr>
            <sz val="11"/>
            <color theme="1"/>
            <rFont val="Calibri"/>
            <charset val="134"/>
            <scheme val="minor"/>
          </rPr>
          <t>Source: Estimate — fresh cherries not stocked in Bella Bona report; nearest Cherry Tomatoes @ €4.69/kg used as placeholder, please confirm</t>
        </r>
      </text>
    </comment>
    <comment ref="E12" authorId="0" shapeId="0" xr:uid="{7012BEA4-A686-4680-BFC9-17B615B49744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Strawberries 500 g @ €2.83/500g = €5.66/kg</t>
        </r>
      </text>
    </comment>
    <comment ref="E13" authorId="0" shapeId="0" xr:uid="{3FD92171-AD78-42F4-8681-F3E5C9E4E92F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Grapes Green Seedless 500 g @ €2.38/pack = €4.77/kg</t>
        </r>
      </text>
    </comment>
    <comment ref="E14" authorId="0" shapeId="0" xr:uid="{07FF972B-CAF4-4D07-AA85-BADC9F212BE6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Orange 3 kg box @ €4.94/box = €1.65/kg</t>
        </r>
      </text>
    </comment>
    <comment ref="E15" authorId="0" shapeId="0" xr:uid="{B1861DFE-DBEB-48AA-B4C1-0C527C86D3B8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Fresh Ginger Root 200 g @ €1.67/pack = €8.37/kg</t>
        </r>
      </text>
    </comment>
    <comment ref="E16" authorId="0" shapeId="0" xr:uid="{0ACA8F30-E319-4632-91ED-BB011EB091C4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Lemons 1.5 kg pack @ €4.94/pack = €3.29/kg</t>
        </r>
      </text>
    </comment>
    <comment ref="E17" authorId="0" shapeId="0" xr:uid="{B4EC6872-135E-45DB-A718-F373C2C79127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Cherry Tomatoes 1 kg @ €4.69-4.78/kg</t>
        </r>
      </text>
    </comment>
    <comment ref="E18" authorId="0" shapeId="0" xr:uid="{ACD07A66-F068-483B-94E5-AEA093356959}">
      <text>
        <r>
          <rPr>
            <sz val="11"/>
            <color theme="1"/>
            <rFont val="Calibri"/>
            <charset val="134"/>
            <scheme val="minor"/>
          </rPr>
          <t>Source: Prior delivery sheet 18.05.26 — Sliced cucumber @ €2.64/kg (stock shows whole Cucumber only)</t>
        </r>
      </text>
    </comment>
    <comment ref="E19" authorId="0" shapeId="0" xr:uid="{F042E6A6-2852-4E38-B88C-54F86EF0D5D4}">
      <text>
        <r>
          <rPr>
            <sz val="11"/>
            <color theme="1"/>
            <rFont val="Calibri"/>
            <charset val="134"/>
            <scheme val="minor"/>
          </rPr>
          <t>Source: Bella Bona Stock Report 2026-06-07 — Red Bell Pepper Fresh 1 kg @ €3.07/kg</t>
        </r>
      </text>
    </comment>
    <comment ref="E21" authorId="0" shapeId="0" xr:uid="{FF1F1328-F393-4050-A695-CF729571193E}">
      <text>
        <r>
          <rPr>
            <sz val="11"/>
            <color theme="1"/>
            <rFont val="Calibri"/>
            <charset val="134"/>
            <scheme val="minor"/>
          </rPr>
          <t>Source: Bella Bona Stock Report 2026-05-28 — Milk 1000 ml @ €45.36/56 = €0.81/L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Milan Patel</author>
  </authors>
  <commentList>
    <comment ref="E4" authorId="0" shapeId="0" xr:uid="{5ABF24E5-8F6D-464A-9616-8A998173DC42}">
      <text>
        <r>
          <rPr>
            <sz val="11"/>
            <color theme="1"/>
            <rFont val="Calibri"/>
            <charset val="134"/>
            <scheme val="minor"/>
          </rPr>
          <t>Source: Bella Bona Stock Report 2026-06-14 — Cookie Double Belgian Choc EP 75g x (66 piece) @ €66.73/66 = €1.01/pc</t>
        </r>
      </text>
    </comment>
    <comment ref="E5" authorId="0" shapeId="0" xr:uid="{4611F1E5-A053-4456-9FC9-C7B9640CF8F5}">
      <text>
        <r>
          <rPr>
            <sz val="11"/>
            <color theme="1"/>
            <rFont val="Calibri"/>
            <charset val="134"/>
            <scheme val="minor"/>
          </rPr>
          <t>Source: Bella Bona Stock Report 2026-06-14 — Cookies Baked Triple Chocolate 72g x (48 piece) @ €44.48/case ÷48 = €0.93/pc</t>
        </r>
      </text>
    </comment>
    <comment ref="E6" authorId="0" shapeId="0" xr:uid="{FCB2794E-70AC-45A6-9B0D-BC26612F355E}">
      <text>
        <r>
          <rPr>
            <sz val="11"/>
            <color theme="1"/>
            <rFont val="Calibri"/>
            <charset val="134"/>
            <scheme val="minor"/>
          </rPr>
          <t>Source: Bella Bona Stock Report 2026-06-14 — Buttercroissant Natur 3CHIC Tre Marie 75g x (50 piece) @ €21.88/50 = €0.44/pc</t>
        </r>
      </text>
    </comment>
    <comment ref="E7" authorId="0" shapeId="0" xr:uid="{E055895F-4CD6-4FF0-AB04-FCE78C4D09DF}">
      <text>
        <r>
          <rPr>
            <sz val="11"/>
            <color theme="1"/>
            <rFont val="Calibri"/>
            <charset val="134"/>
            <scheme val="minor"/>
          </rPr>
          <t>Source: Bella Bona Stock Report 2026-06-14 — Pain au Chocolat 75g x (20 piece) @ €11.60/pack ÷20 = €0.58/pc</t>
        </r>
      </text>
    </comment>
    <comment ref="E8" authorId="0" shapeId="0" xr:uid="{269D2AC7-42E8-4E7F-A317-77274DA9EC38}">
      <text>
        <r>
          <rPr>
            <sz val="11"/>
            <color theme="1"/>
            <rFont val="Calibri"/>
            <charset val="134"/>
            <scheme val="minor"/>
          </rPr>
          <t>Source: Bella Bona Stock Report 2026-06-14 — Double Chocolate Muffins 12 piece @ €13.49/pack ÷12 = €1.12/pc</t>
        </r>
      </text>
    </comment>
    <comment ref="E9" authorId="0" shapeId="0" xr:uid="{390B9172-D87B-4696-92CC-44B8C8FB0B54}">
      <text>
        <r>
          <rPr>
            <sz val="11"/>
            <color theme="1"/>
            <rFont val="Calibri"/>
            <charset val="134"/>
            <scheme val="minor"/>
          </rPr>
          <t>Source: Estimate — Almond croissants not in Bella Bona Stock Report 2026-06-14; typical €1.10-€1.30/pc. Please confirm.</t>
        </r>
      </text>
    </comment>
    <comment ref="E10" authorId="0" shapeId="0" xr:uid="{A9BFD6E9-FD72-4495-834D-A1480438CAC0}">
      <text>
        <r>
          <rPr>
            <sz val="11"/>
            <color theme="1"/>
            <rFont val="Calibri"/>
            <charset val="134"/>
            <scheme val="minor"/>
          </rPr>
          <t>Source: Bella Bona Stock Report 2026-06-14 — RIOBA Blueberry Muffins 100 g @ €1.12/pc</t>
        </r>
      </text>
    </comment>
    <comment ref="E11" authorId="0" shapeId="0" xr:uid="{52AB166B-F71B-4C1C-B030-ED5810E06F49}">
      <text>
        <r>
          <rPr>
            <sz val="11"/>
            <color theme="1"/>
            <rFont val="Calibri"/>
            <charset val="134"/>
            <scheme val="minor"/>
          </rPr>
          <t>Source: Estimate — Bananas 1 kg out of stock in Bella Bona Stock Report 2026-06-14; carried €1.64/kg from prior sheet. Please confirm.</t>
        </r>
      </text>
    </comment>
    <comment ref="E12" authorId="0" shapeId="0" xr:uid="{56131576-F48E-4189-85D6-C52DBD4179C6}">
      <text>
        <r>
          <rPr>
            <sz val="11"/>
            <color theme="1"/>
            <rFont val="Calibri"/>
            <charset val="134"/>
            <scheme val="minor"/>
          </rPr>
          <t>Source: Bella Bona Stock Report 2026-06-14 — Apple 1 kg @ €1.09/kg</t>
        </r>
      </text>
    </comment>
    <comment ref="E13" authorId="0" shapeId="0" xr:uid="{86A3B929-CF05-4D69-9231-0DF586B996B1}">
      <text>
        <r>
          <rPr>
            <sz val="11"/>
            <color theme="1"/>
            <rFont val="Calibri"/>
            <charset val="134"/>
            <scheme val="minor"/>
          </rPr>
          <t>Source: Bella Bona Stock Report 2026-06-14 — Pear 1 kg @ €2.57/kg</t>
        </r>
      </text>
    </comment>
    <comment ref="E14" authorId="0" shapeId="0" xr:uid="{9340B917-5B80-42E3-B43B-97127521B381}">
      <text>
        <r>
          <rPr>
            <sz val="11"/>
            <color theme="1"/>
            <rFont val="Calibri"/>
            <charset val="134"/>
            <scheme val="minor"/>
          </rPr>
          <t>Source: Bella Bona Stock Report 2026-06-14 — Grapes Green Seedless 500 g @ €1.96/500g = €3.91/kg</t>
        </r>
      </text>
    </comment>
    <comment ref="E15" authorId="0" shapeId="0" xr:uid="{67184AD5-2CB9-4B6E-ABEA-5D66114B9EAB}">
      <text>
        <r>
          <rPr>
            <sz val="11"/>
            <color theme="1"/>
            <rFont val="Calibri"/>
            <charset val="134"/>
            <scheme val="minor"/>
          </rPr>
          <t>Source: Bella Bona Stock Report 2026-06-14 — Orange 3 kg box @ €4.76/box = €1.59/kg</t>
        </r>
      </text>
    </comment>
    <comment ref="E16" authorId="0" shapeId="0" xr:uid="{C80FE8B8-95C3-4635-8C97-91C179AB2F59}">
      <text>
        <r>
          <rPr>
            <sz val="11"/>
            <color theme="1"/>
            <rFont val="Calibri"/>
            <charset val="134"/>
            <scheme val="minor"/>
          </rPr>
          <t>Source: Bella Bona Stock Report 2026-06-14 — Lemons 500 g @ €2.10/500g = €4.20/kg</t>
        </r>
      </text>
    </comment>
    <comment ref="E17" authorId="0" shapeId="0" xr:uid="{09827E68-F0E8-482D-9BA3-4570E0D0E7A0}">
      <text>
        <r>
          <rPr>
            <sz val="11"/>
            <color theme="1"/>
            <rFont val="Calibri"/>
            <charset val="134"/>
            <scheme val="minor"/>
          </rPr>
          <t>Source: Bella Bona Stock Report 2026-06-14 — Fresh Ginger Root 1 kg @ €7.44/kg</t>
        </r>
      </text>
    </comment>
    <comment ref="E18" authorId="0" shapeId="0" xr:uid="{F29F6C81-29EA-4911-82B3-7729850460F0}">
      <text>
        <r>
          <rPr>
            <sz val="11"/>
            <color theme="1"/>
            <rFont val="Calibri"/>
            <charset val="134"/>
            <scheme val="minor"/>
          </rPr>
          <t>Source: Bella Bona Stock Report 2026-06-14 — Cherry Tomatoes 1 kg @ €4.64/kg</t>
        </r>
      </text>
    </comment>
    <comment ref="E19" authorId="0" shapeId="0" xr:uid="{5548218D-BDCC-44EC-A2AE-23E6F1669611}">
      <text>
        <r>
          <rPr>
            <sz val="11"/>
            <color theme="1"/>
            <rFont val="Calibri"/>
            <charset val="134"/>
            <scheme val="minor"/>
          </rPr>
          <t>Source: Estimate — only whole Cucumber (per piece) in Bella Bona Stock Report 2026-06-14; carried €2.64/kg from prior sheet. Please confirm.</t>
        </r>
      </text>
    </comment>
    <comment ref="E20" authorId="0" shapeId="0" xr:uid="{CD0D2D7B-C60D-4FB7-B156-EFEA12BFC091}">
      <text>
        <r>
          <rPr>
            <sz val="11"/>
            <color theme="1"/>
            <rFont val="Calibri"/>
            <charset val="134"/>
            <scheme val="minor"/>
          </rPr>
          <t>Source: Bella Bona Stock Report 2026-06-14 — Red Bell Pepper Kiste Fresh 1 kg @ €2.97/kg</t>
        </r>
      </text>
    </comment>
    <comment ref="E21" authorId="0" shapeId="0" xr:uid="{7FDC2810-A7F0-4232-9A2C-8A2EAA76F183}">
      <text>
        <r>
          <rPr>
            <sz val="11"/>
            <color theme="1"/>
            <rFont val="Calibri"/>
            <charset val="134"/>
            <scheme val="minor"/>
          </rPr>
          <t>Not listed in Bella Bona Stock Report 2026-06-14 and no quantity given on Sheet1. Please confirm qty &amp; price.</t>
        </r>
      </text>
    </comment>
    <comment ref="E22" authorId="0" shapeId="0" xr:uid="{64E764DF-F6D8-42FF-96F6-404D2BA37951}">
      <text>
        <r>
          <rPr>
            <sz val="11"/>
            <color theme="1"/>
            <rFont val="Calibri"/>
            <charset val="134"/>
            <scheme val="minor"/>
          </rPr>
          <t>Milk 3.5% (5 l) out of stock in Bella Bona Stock Report 2026-06-14; no quantity given on Sheet1. Please confirm qty &amp; price.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Milan Patel</author>
  </authors>
  <commentList>
    <comment ref="E4" authorId="0" shapeId="0" xr:uid="{0772A5EC-C899-466E-9370-3A3BE3CBEB3B}">
      <text>
        <r>
          <rPr>
            <sz val="11"/>
            <color theme="1"/>
            <rFont val="Calibri"/>
            <charset val="134"/>
            <scheme val="minor"/>
          </rPr>
          <t>Source: Bella Bona Stock Report 2026-06-14 — Buttercroissant Natur 3CHIC Tre Marie 75g x (50 piece) @ €21.88/50 = €0.44/pc</t>
        </r>
      </text>
    </comment>
    <comment ref="E5" authorId="0" shapeId="0" xr:uid="{5A37B133-14CE-4057-8DED-C02918D1E940}">
      <text>
        <r>
          <rPr>
            <sz val="11"/>
            <color theme="1"/>
            <rFont val="Calibri"/>
            <charset val="134"/>
            <scheme val="minor"/>
          </rPr>
          <t>Source: Estimate — Almond croissants not in Bella Bona Stock Report 2026-06-14; typical €1.10-€1.30/pc. Please confirm.</t>
        </r>
      </text>
    </comment>
    <comment ref="E6" authorId="0" shapeId="0" xr:uid="{77585A1F-DC7E-4C84-9284-C7B327029A12}">
      <text>
        <r>
          <rPr>
            <sz val="11"/>
            <color theme="1"/>
            <rFont val="Calibri"/>
            <charset val="134"/>
            <scheme val="minor"/>
          </rPr>
          <t>Source: Bella Bona Stock Report 2026-06-14 — Croissant Pistazie "Rodrigo" 95g x (50 piece) @ €29.94/50 = €0.60/pc</t>
        </r>
      </text>
    </comment>
    <comment ref="E7" authorId="0" shapeId="0" xr:uid="{934110D9-779C-4D1B-AB53-613B645703FC}">
      <text>
        <r>
          <rPr>
            <sz val="11"/>
            <color theme="1"/>
            <rFont val="Calibri"/>
            <charset val="134"/>
            <scheme val="minor"/>
          </rPr>
          <t>Source: Bella Bona Stock Report 2026-06-14 — Pain au Chocolat 75g x (20 piece) @ €11.60/pack ÷20 = €0.58/pc</t>
        </r>
      </text>
    </comment>
    <comment ref="E8" authorId="0" shapeId="0" xr:uid="{C338C8A7-6907-4B5C-AB75-FD103059B9FB}">
      <text>
        <r>
          <rPr>
            <sz val="11"/>
            <color theme="1"/>
            <rFont val="Calibri"/>
            <charset val="134"/>
            <scheme val="minor"/>
          </rPr>
          <t>Source: Estimate — Almond croissants not in Bella Bona Stock Report 2026-06-14; typical €1.10-€1.30/pc. Please confirm.</t>
        </r>
      </text>
    </comment>
    <comment ref="E9" authorId="0" shapeId="0" xr:uid="{DE4B54F5-B914-446B-B365-B35671BDC3FB}">
      <text>
        <r>
          <rPr>
            <sz val="11"/>
            <color theme="1"/>
            <rFont val="Calibri"/>
            <charset val="134"/>
            <scheme val="minor"/>
          </rPr>
          <t>Source: Bella Bona Stock Report 2026-06-14 — Olive Oil 5 l @ €29.54/5l = €5.91/l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Milan Patel</author>
  </authors>
  <commentList>
    <comment ref="E4" authorId="0" shapeId="0" xr:uid="{3DC3D508-948C-4AD6-9838-39DA3709C1B3}">
      <text>
        <r>
          <rPr>
            <sz val="11"/>
            <color theme="1"/>
            <rFont val="Calibri"/>
            <charset val="134"/>
            <scheme val="minor"/>
          </rPr>
          <t>Source: Bella Bona Stock Report 2026-06-14 — Buttercroissant Natur 3CHIC Tre Marie 75g x (50 piece) @ €21.88/50 = €0.44/pc</t>
        </r>
      </text>
    </comment>
    <comment ref="E5" authorId="0" shapeId="0" xr:uid="{9A3686E5-4CDE-4D3B-9A5C-0C4C10BD3B22}">
      <text>
        <r>
          <rPr>
            <sz val="11"/>
            <color theme="1"/>
            <rFont val="Calibri"/>
            <charset val="134"/>
            <scheme val="minor"/>
          </rPr>
          <t>Source: Bella Bona Stock Report 2026-06-14 — Croissant Pistazie "Rodrigo" 95g x (50 piece) @ €29.94/50 = €0.60/pc</t>
        </r>
      </text>
    </comment>
    <comment ref="E6" authorId="0" shapeId="0" xr:uid="{1FC2AC57-08A2-4E7A-84C5-793714168F96}">
      <text>
        <r>
          <rPr>
            <sz val="11"/>
            <color theme="1"/>
            <rFont val="Calibri"/>
            <charset val="134"/>
            <scheme val="minor"/>
          </rPr>
          <t>Source: Estimate — Almond croissants not in Bella Bona Stock Report 2026-06-14; typical €1.10-€1.30/pc. Please confirm.</t>
        </r>
      </text>
    </comment>
    <comment ref="E7" authorId="0" shapeId="0" xr:uid="{84FD22F7-699D-46DE-B853-9AAC8D14CBD8}">
      <text>
        <r>
          <rPr>
            <sz val="11"/>
            <color theme="1"/>
            <rFont val="Calibri"/>
            <charset val="134"/>
            <scheme val="minor"/>
          </rPr>
          <t>Source: Bella Bona Stock Report 2026-06-14 — Double Chocolate Muffins 12 piece @ €13.49/pack ÷12 = €1.12/pc</t>
        </r>
      </text>
    </comment>
    <comment ref="E8" authorId="0" shapeId="0" xr:uid="{543774D2-BF92-4D6E-AC2E-A6794B81064A}">
      <text>
        <r>
          <rPr>
            <sz val="11"/>
            <color theme="1"/>
            <rFont val="Calibri"/>
            <charset val="134"/>
            <scheme val="minor"/>
          </rPr>
          <t>Source: Estimate — Bananas 1 kg out of stock in Bella Bona Stock Report 2026-06-14; carried €1.64/kg from prior sheet. Please confirm.</t>
        </r>
      </text>
    </comment>
    <comment ref="E9" authorId="0" shapeId="0" xr:uid="{7C866C64-6D2A-427D-B2E2-D6DC1E429033}">
      <text>
        <r>
          <rPr>
            <sz val="11"/>
            <color theme="1"/>
            <rFont val="Calibri"/>
            <charset val="134"/>
            <scheme val="minor"/>
          </rPr>
          <t>Source: Estimate — Apricots out of stock in Bella Bona Stock Report 2026-06-14; €3.95/kg. Please confirm.</t>
        </r>
      </text>
    </comment>
    <comment ref="E10" authorId="0" shapeId="0" xr:uid="{DC7880AB-750A-4E7E-A024-B01E54205A45}">
      <text>
        <r>
          <rPr>
            <sz val="11"/>
            <color theme="1"/>
            <rFont val="Calibri"/>
            <charset val="134"/>
            <scheme val="minor"/>
          </rPr>
          <t>Source: Bella Bona Stock Report 2026-06-14 — Apple 1 kg @ €1.09/kg</t>
        </r>
      </text>
    </comment>
    <comment ref="E11" authorId="0" shapeId="0" xr:uid="{6FDD2F34-B233-4AA2-8D68-81148EA81C03}">
      <text>
        <r>
          <rPr>
            <sz val="11"/>
            <color theme="1"/>
            <rFont val="Calibri"/>
            <charset val="134"/>
            <scheme val="minor"/>
          </rPr>
          <t>Source: Estimate — fresh cherries not stocked in Bella Bona Stock Report 2026-06-14; placeholder €4.64/kg. Please confirm.</t>
        </r>
      </text>
    </comment>
    <comment ref="E12" authorId="0" shapeId="0" xr:uid="{49F04450-AF76-4F6A-B2BA-D2459D155C38}">
      <text>
        <r>
          <rPr>
            <sz val="11"/>
            <color theme="1"/>
            <rFont val="Calibri"/>
            <charset val="134"/>
            <scheme val="minor"/>
          </rPr>
          <t>Source: Bella Bona Stock Report 2026-06-14 — Strawberries 500 g @ €3.54/500g = €7.09/kg</t>
        </r>
      </text>
    </comment>
    <comment ref="E13" authorId="0" shapeId="0" xr:uid="{0EEBEA4C-7E8C-4322-8FD8-8CBA4F2E3146}">
      <text>
        <r>
          <rPr>
            <sz val="11"/>
            <color theme="1"/>
            <rFont val="Calibri"/>
            <charset val="134"/>
            <scheme val="minor"/>
          </rPr>
          <t>Source: Bella Bona Stock Report 2026-06-14 — Grapes Green Seedless 500 g @ €1.96/500g = €3.91/kg</t>
        </r>
      </text>
    </comment>
    <comment ref="E14" authorId="0" shapeId="0" xr:uid="{27418D84-FBFF-4BBD-8FC0-4BF247896D54}">
      <text>
        <r>
          <rPr>
            <sz val="11"/>
            <color theme="1"/>
            <rFont val="Calibri"/>
            <charset val="134"/>
            <scheme val="minor"/>
          </rPr>
          <t>Source: Bella Bona Stock Report 2026-06-14 — Orange 3 kg box @ €4.76/box = €1.59/kg</t>
        </r>
      </text>
    </comment>
    <comment ref="E15" authorId="0" shapeId="0" xr:uid="{5309B607-50C3-4627-A2E2-BB404110F29C}">
      <text>
        <r>
          <rPr>
            <sz val="11"/>
            <color theme="1"/>
            <rFont val="Calibri"/>
            <charset val="134"/>
            <scheme val="minor"/>
          </rPr>
          <t>Source: Bella Bona Stock Report 2026-06-14 — Fresh Ginger Root 1 kg @ €7.44/kg</t>
        </r>
      </text>
    </comment>
    <comment ref="E16" authorId="0" shapeId="0" xr:uid="{3D075895-406E-4DE1-AAA0-2CFF483B6FED}">
      <text>
        <r>
          <rPr>
            <sz val="11"/>
            <color theme="1"/>
            <rFont val="Calibri"/>
            <charset val="134"/>
            <scheme val="minor"/>
          </rPr>
          <t>Source: Bella Bona Stock Report 2026-06-14 — Lemons 500 g @ €2.10/500g = €4.20/kg</t>
        </r>
      </text>
    </comment>
    <comment ref="E17" authorId="0" shapeId="0" xr:uid="{73E53FD1-49E1-432D-A2B5-2D29DA476C79}">
      <text>
        <r>
          <rPr>
            <sz val="11"/>
            <color theme="1"/>
            <rFont val="Calibri"/>
            <charset val="134"/>
            <scheme val="minor"/>
          </rPr>
          <t>Source: Bella Bona Stock Report 2026-06-14 — Cherry Tomatoes 1 kg @ €4.64/kg</t>
        </r>
      </text>
    </comment>
    <comment ref="E18" authorId="0" shapeId="0" xr:uid="{1456F0C1-CA13-4DF8-BF3C-60960E31861D}">
      <text>
        <r>
          <rPr>
            <sz val="11"/>
            <color theme="1"/>
            <rFont val="Calibri"/>
            <charset val="134"/>
            <scheme val="minor"/>
          </rPr>
          <t>Source: Estimate — only whole Cucumber (per piece) in Bella Bona Stock Report 2026-06-14; carried €2.64/kg from prior sheet. Please confirm.</t>
        </r>
      </text>
    </comment>
    <comment ref="E19" authorId="0" shapeId="0" xr:uid="{7C686D01-6C3C-4030-AA89-0590C6F9161C}">
      <text>
        <r>
          <rPr>
            <sz val="11"/>
            <color theme="1"/>
            <rFont val="Calibri"/>
            <charset val="134"/>
            <scheme val="minor"/>
          </rPr>
          <t>Source: Bella Bona Stock Report 2026-06-14 — Red Bell Pepper Kiste Fresh 1 kg @ €2.97/kg</t>
        </r>
      </text>
    </comment>
  </commentList>
</comments>
</file>

<file path=xl/sharedStrings.xml><?xml version="1.0" encoding="utf-8"?>
<sst xmlns="http://schemas.openxmlformats.org/spreadsheetml/2006/main" count="1540" uniqueCount="192">
  <si>
    <t>UFA Pantries – Week 14 Delivery</t>
  </si>
  <si>
    <t>Category</t>
  </si>
  <si>
    <t>Item</t>
  </si>
  <si>
    <t>Description</t>
  </si>
  <si>
    <t>Price / Unit (€)</t>
  </si>
  <si>
    <t>Unit</t>
  </si>
  <si>
    <t>Qty Sent</t>
  </si>
  <si>
    <t>Total (€)</t>
  </si>
  <si>
    <t>Coffee &amp; Hot Beverages</t>
  </si>
  <si>
    <t>Oatly Barista</t>
  </si>
  <si>
    <t>Premium, plant-based, barista-quality</t>
  </si>
  <si>
    <t>l</t>
  </si>
  <si>
    <t>Milk Barista 3.5%</t>
  </si>
  <si>
    <t>Milk Lactose Free</t>
  </si>
  <si>
    <t>Soy Milch Barista</t>
  </si>
  <si>
    <t>White Sugar</t>
  </si>
  <si>
    <t>kg</t>
  </si>
  <si>
    <t>Brown Sugar</t>
  </si>
  <si>
    <t>Matcha</t>
  </si>
  <si>
    <t>300g</t>
  </si>
  <si>
    <t>Decaff Coffee</t>
  </si>
  <si>
    <t>250g</t>
  </si>
  <si>
    <t>Almond milk</t>
  </si>
  <si>
    <t>Subtotal – Coffee &amp; Hot Beverages</t>
  </si>
  <si>
    <t>Fruits</t>
  </si>
  <si>
    <t>apple</t>
  </si>
  <si>
    <t>orange</t>
  </si>
  <si>
    <t>kiwi</t>
  </si>
  <si>
    <t xml:space="preserve"> birne</t>
  </si>
  <si>
    <t>ginger</t>
  </si>
  <si>
    <t>lemon</t>
  </si>
  <si>
    <t>Pastry</t>
  </si>
  <si>
    <t>muffins</t>
  </si>
  <si>
    <t>pcs</t>
  </si>
  <si>
    <t>croissant pistachio</t>
  </si>
  <si>
    <t xml:space="preserve">vegan croissant </t>
  </si>
  <si>
    <t>Pain au chocolate</t>
  </si>
  <si>
    <t>Subtotal</t>
  </si>
  <si>
    <t>Apple</t>
  </si>
  <si>
    <t>Grapes</t>
  </si>
  <si>
    <t>500gm/pkt</t>
  </si>
  <si>
    <t>pkt</t>
  </si>
  <si>
    <t>Banana</t>
  </si>
  <si>
    <t>Lime</t>
  </si>
  <si>
    <t>Kiwi</t>
  </si>
  <si>
    <t>Pears</t>
  </si>
  <si>
    <t>Vegan Croissant</t>
  </si>
  <si>
    <t>Chocolate croisant</t>
  </si>
  <si>
    <t>Pain Au Chocolate</t>
  </si>
  <si>
    <t>Butter Croissant</t>
  </si>
  <si>
    <t>Oranges</t>
  </si>
  <si>
    <t>Butter croisant</t>
  </si>
  <si>
    <t>Blueberry Muffins</t>
  </si>
  <si>
    <t>Dairy</t>
  </si>
  <si>
    <t>Oat Milk</t>
  </si>
  <si>
    <t>L</t>
  </si>
  <si>
    <t>Veg</t>
  </si>
  <si>
    <t xml:space="preserve">Gingers </t>
  </si>
  <si>
    <t>200gm/pkt</t>
  </si>
  <si>
    <t>Plum</t>
  </si>
  <si>
    <t>Rawline cake Mango Lime</t>
  </si>
  <si>
    <t>1kg</t>
  </si>
  <si>
    <t>Cherry tomatoes</t>
  </si>
  <si>
    <t>0.75kg</t>
  </si>
  <si>
    <t>Cucumber</t>
  </si>
  <si>
    <t>carrots Fresh</t>
  </si>
  <si>
    <t>Chococlate Muffins</t>
  </si>
  <si>
    <t>lactose Free Milk</t>
  </si>
  <si>
    <t>Pistachio Croissant</t>
  </si>
  <si>
    <t>500gm pkt</t>
  </si>
  <si>
    <t>Strawberry</t>
  </si>
  <si>
    <t>5kg</t>
  </si>
  <si>
    <t>bag</t>
  </si>
  <si>
    <t>Lemon</t>
  </si>
  <si>
    <t>1.5kg</t>
  </si>
  <si>
    <t>Chocolate Muffins</t>
  </si>
  <si>
    <t>Milk</t>
  </si>
  <si>
    <t>Pear</t>
  </si>
  <si>
    <t>Ginger</t>
  </si>
  <si>
    <t>200gm</t>
  </si>
  <si>
    <t>Cherry Tomatoes</t>
  </si>
  <si>
    <t>Sliced Cucumber</t>
  </si>
  <si>
    <t>Sliced Carrot</t>
  </si>
  <si>
    <t>Blueberry Muffin</t>
  </si>
  <si>
    <t>Chocolate Muffin</t>
  </si>
  <si>
    <t>Date</t>
  </si>
  <si>
    <t>Catagories</t>
  </si>
  <si>
    <t>Items</t>
  </si>
  <si>
    <t>unit</t>
  </si>
  <si>
    <t>price/unit</t>
  </si>
  <si>
    <t>Morning Pastries</t>
  </si>
  <si>
    <t>Croissants</t>
  </si>
  <si>
    <t>Pain au chocolat</t>
  </si>
  <si>
    <t>Muffins</t>
  </si>
  <si>
    <t>Meeting Order</t>
  </si>
  <si>
    <t>Mini butter croissants</t>
  </si>
  <si>
    <t>Mini pain au chocolate</t>
  </si>
  <si>
    <t>Total</t>
  </si>
  <si>
    <t>Qty</t>
  </si>
  <si>
    <t>Fruit Basket</t>
  </si>
  <si>
    <t>Bananas</t>
  </si>
  <si>
    <t>Apples</t>
  </si>
  <si>
    <t>Oranges  5kg</t>
  </si>
  <si>
    <t>Bag</t>
  </si>
  <si>
    <t>Lemons</t>
  </si>
  <si>
    <t>Peach</t>
  </si>
  <si>
    <t>Apricot</t>
  </si>
  <si>
    <t>Sliced cucumber</t>
  </si>
  <si>
    <t>Sliced peppers</t>
  </si>
  <si>
    <t>Café Supplies</t>
  </si>
  <si>
    <t>Oat milk</t>
  </si>
  <si>
    <t>Soy Milk</t>
  </si>
  <si>
    <t>Napkins</t>
  </si>
  <si>
    <t>packs</t>
  </si>
  <si>
    <t>Pistachio Croissants</t>
  </si>
  <si>
    <t>Muffins (chocolate &amp; blueberry)</t>
  </si>
  <si>
    <t>Cookies (from Pier7 if available)</t>
  </si>
  <si>
    <t>Oranges 5kg</t>
  </si>
  <si>
    <t>Ginger 200gm</t>
  </si>
  <si>
    <t xml:space="preserve">Town Hall </t>
  </si>
  <si>
    <t>Special Croissant</t>
  </si>
  <si>
    <t>Rechian Belgian Chocolate Cookie 75g</t>
  </si>
  <si>
    <t>BL Triple Choc Cookie Baked 72g</t>
  </si>
  <si>
    <t>Packs</t>
  </si>
  <si>
    <t>Matcha Powder</t>
  </si>
  <si>
    <t>pack (250 g)</t>
  </si>
  <si>
    <t>Bread</t>
  </si>
  <si>
    <t>Pcs</t>
  </si>
  <si>
    <t>📅 Cost Sheet — Monday 18.05.2026</t>
  </si>
  <si>
    <t>Quantity</t>
  </si>
  <si>
    <t>Unit Price (€)</t>
  </si>
  <si>
    <t>rechian belgian chocolate cookie 75g</t>
  </si>
  <si>
    <t>BL triple choc cookie baked 72g</t>
  </si>
  <si>
    <t>Regular Milk</t>
  </si>
  <si>
    <t>Coffee Beans</t>
  </si>
  <si>
    <t>?</t>
  </si>
  <si>
    <t>TOTAL</t>
  </si>
  <si>
    <t>📅 Cost Sheet — Tuesday 19.05.2026</t>
  </si>
  <si>
    <t>Cookies</t>
  </si>
  <si>
    <t>📅 Cost Sheet — Wednesday 20.05.2026</t>
  </si>
  <si>
    <t>Franzbrotchen (or Almond or pistachio croissants)</t>
  </si>
  <si>
    <t>Cherry</t>
  </si>
  <si>
    <t>Price per Unit</t>
  </si>
  <si>
    <t xml:space="preserve">Butter Croissants </t>
  </si>
  <si>
    <t>stk</t>
  </si>
  <si>
    <t xml:space="preserve">Nuss Nougat Croissants </t>
  </si>
  <si>
    <t>Quarkbällchen</t>
  </si>
  <si>
    <t xml:space="preserve">Laugenbreze </t>
  </si>
  <si>
    <t>📅 Cost Sheet — Tuesday 26.05.2026</t>
  </si>
  <si>
    <t>Almond Croissants</t>
  </si>
  <si>
    <t>Soja milch</t>
  </si>
  <si>
    <t>Almond milch</t>
  </si>
  <si>
    <t>📅 Cost Sheet — Wednesday 27.05.2026</t>
  </si>
  <si>
    <t>Donut Sugar</t>
  </si>
  <si>
    <t xml:space="preserve">Pudding Brezel </t>
  </si>
  <si>
    <t>Franzbroetchen</t>
  </si>
  <si>
    <t>Muss Nougat Croissant</t>
  </si>
  <si>
    <t>📅 Cost Sheet — Monday 01.06.2026</t>
  </si>
  <si>
    <t>Catering Supplies</t>
  </si>
  <si>
    <t>Gloves</t>
  </si>
  <si>
    <t>📅 Cost Sheet — Tuesday 02.06.2026</t>
  </si>
  <si>
    <t>📅 Cost Sheet — Wednesday 03.06.2026</t>
  </si>
  <si>
    <t>apricot</t>
  </si>
  <si>
    <t>cherry</t>
  </si>
  <si>
    <t>strawberry</t>
  </si>
  <si>
    <t>📅 Cost Sheet — Monday 08.06.2026</t>
  </si>
  <si>
    <t>📅 Cost Sheet — Tuesday 09.06.2026</t>
  </si>
  <si>
    <t>📅 Cost Sheet — Wednesday 10.06.2026</t>
  </si>
  <si>
    <t xml:space="preserve">Pear </t>
  </si>
  <si>
    <t>📅 Cost Sheet — Monday 15.06.2026</t>
  </si>
  <si>
    <t>📅 Cost Sheet — Tuesday 16.06.2026</t>
  </si>
  <si>
    <t>Olive Oil</t>
  </si>
  <si>
    <t>📅 Cost Sheet — Wednesday 17.06.2026</t>
  </si>
  <si>
    <t>Pantry Cost — UFA | Monday 22.06.2026</t>
  </si>
  <si>
    <t>Line Total (€)</t>
  </si>
  <si>
    <t>Rechian Belgian chocolate cookie 75g</t>
  </si>
  <si>
    <t>Bananas (per kg)</t>
  </si>
  <si>
    <t>Apples (per kg)</t>
  </si>
  <si>
    <t>Pears (per kg)</t>
  </si>
  <si>
    <t>Grapes (per kg)</t>
  </si>
  <si>
    <t>Oranges (per kg)</t>
  </si>
  <si>
    <t>Lemons (per kg)</t>
  </si>
  <si>
    <t>Ginger (per kg)</t>
  </si>
  <si>
    <t>Cherry tomatoes (per kg)</t>
  </si>
  <si>
    <t>Sliced cucumber (per kg)</t>
  </si>
  <si>
    <t>Sliced peppers (per kg)</t>
  </si>
  <si>
    <t>Pantry Cost — UFA | Tuesday 23.06.2026</t>
  </si>
  <si>
    <t>Olive Oil (per l)</t>
  </si>
  <si>
    <t>Pantry Cost — UFA | Wednesday 24.06.2026</t>
  </si>
  <si>
    <t>Apricot (per kg)</t>
  </si>
  <si>
    <t>Cherry (per kg)</t>
  </si>
  <si>
    <t>Strawberry (per 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</si>
</sst>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\€#,##0.00"/>
    <numFmt numFmtId="165" formatCode="dd\.mm"/>
    <numFmt numFmtId="166" formatCode="\€#,##0.00;\(\€#,##0.00\);\-"/>
    <numFmt numFmtId="167" formatCode="0.##"/>
  </numFmts>
  <fonts count="30">
    <font>
      <sz val="11"/>
      <color theme="1"/>
      <name val="Calibri"/>
      <charset val="134"/>
      <scheme val="minor"/>
    </font>
    <font>
      <sz val="10.5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1B5E20"/>
      <name val="Arial"/>
      <charset val="1"/>
    </font>
    <font>
      <b/>
      <sz val="11"/>
      <color rgb="FFFFFFFF"/>
      <name val="Arial"/>
    </font>
    <font>
      <b/>
      <sz val="10"/>
      <color rgb="FF1B5E20"/>
      <name val="Arial"/>
    </font>
    <font>
      <sz val="10"/>
      <color theme="1"/>
      <name val="Arial"/>
    </font>
    <font>
      <b/>
      <sz val="10"/>
      <color theme="1"/>
      <name val="Arial"/>
    </font>
    <font>
      <sz val="11"/>
      <color theme="1"/>
      <name val="Arial"/>
    </font>
    <font>
      <sz val="11"/>
      <name val="Calibri"/>
      <charset val="1"/>
    </font>
    <font>
      <b/>
      <sz val="11"/>
      <color theme="1"/>
      <name val="Calibri"/>
    </font>
    <font>
      <sz val="11"/>
      <color rgb="FF008000"/>
      <name val="Calibri"/>
    </font>
    <font>
      <sz val="11"/>
      <name val="Calibri"/>
    </font>
    <font>
      <b/>
      <sz val="11"/>
      <name val="Calibri"/>
    </font>
    <font>
      <sz val="11"/>
      <color rgb="FF0080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0000FF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FFFFFF"/>
      <name val="Calibri"/>
    </font>
    <font>
      <sz val="11"/>
      <color theme="1"/>
      <name val="Calibri"/>
    </font>
    <font>
      <sz val="11"/>
      <color rgb="FF0000FF"/>
      <name val="Calibri"/>
    </font>
    <font>
      <b/>
      <sz val="14"/>
      <color rgb="FF1B4332"/>
      <name val="Calibri"/>
      <charset val="134"/>
      <scheme val="minor"/>
    </font>
    <font>
      <b/>
      <sz val="14"/>
      <color rgb="FF1B4332"/>
      <name val="Calibri"/>
    </font>
    <font>
      <b/>
      <sz val="11"/>
      <color theme="1"/>
      <name val="Aptos Narrow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2E7D32"/>
        <bgColor rgb="FF558B2F"/>
      </patternFill>
    </fill>
    <fill>
      <patternFill patternType="solid">
        <fgColor rgb="FFFFFDE7"/>
        <bgColor rgb="FFFFFFFF"/>
      </patternFill>
    </fill>
    <fill>
      <patternFill patternType="solid">
        <fgColor rgb="FFFFFFFF"/>
        <bgColor rgb="FFFFFDE7"/>
      </patternFill>
    </fill>
    <fill>
      <patternFill patternType="solid">
        <fgColor rgb="FFE8F5E9"/>
        <bgColor rgb="FFFFFDE7"/>
      </patternFill>
    </fill>
    <fill>
      <patternFill patternType="solid">
        <fgColor rgb="FFFFFF00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FF3E0"/>
        <bgColor rgb="FFFFEBEE"/>
      </patternFill>
    </fill>
    <fill>
      <patternFill patternType="solid">
        <fgColor rgb="FFFFF3E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8F3DC"/>
        <bgColor indexed="64"/>
      </patternFill>
    </fill>
    <fill>
      <patternFill patternType="solid">
        <fgColor rgb="FF1B433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CE4D6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999999"/>
      </left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999999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>
      <alignment vertical="center"/>
    </xf>
  </cellStyleXfs>
  <cellXfs count="1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5" fillId="4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6" fillId="5" borderId="1" xfId="0" applyFont="1" applyFill="1" applyBorder="1">
      <alignment vertical="center"/>
    </xf>
    <xf numFmtId="0" fontId="5" fillId="4" borderId="0" xfId="0" applyFont="1" applyFill="1">
      <alignment vertical="center"/>
    </xf>
    <xf numFmtId="0" fontId="0" fillId="0" borderId="1" xfId="0" applyBorder="1">
      <alignment vertical="center"/>
    </xf>
    <xf numFmtId="0" fontId="5" fillId="3" borderId="2" xfId="0" applyFont="1" applyFill="1" applyBorder="1">
      <alignment vertical="center"/>
    </xf>
    <xf numFmtId="0" fontId="5" fillId="4" borderId="3" xfId="0" applyFont="1" applyFill="1" applyBorder="1">
      <alignment vertical="center"/>
    </xf>
    <xf numFmtId="0" fontId="5" fillId="3" borderId="4" xfId="0" applyFont="1" applyFill="1" applyBorder="1">
      <alignment vertical="center"/>
    </xf>
    <xf numFmtId="0" fontId="6" fillId="6" borderId="1" xfId="0" applyFont="1" applyFill="1" applyBorder="1">
      <alignment vertical="center"/>
    </xf>
    <xf numFmtId="0" fontId="0" fillId="0" borderId="4" xfId="0" applyBorder="1">
      <alignment vertical="center"/>
    </xf>
    <xf numFmtId="0" fontId="8" fillId="7" borderId="1" xfId="0" applyFont="1" applyFill="1" applyBorder="1" applyAlignment="1">
      <alignment horizontal="center" vertical="center"/>
    </xf>
    <xf numFmtId="0" fontId="9" fillId="6" borderId="1" xfId="0" applyFont="1" applyFill="1" applyBorder="1">
      <alignment vertical="center"/>
    </xf>
    <xf numFmtId="164" fontId="11" fillId="6" borderId="1" xfId="0" applyNumberFormat="1" applyFont="1" applyFill="1" applyBorder="1">
      <alignment vertical="center"/>
    </xf>
    <xf numFmtId="0" fontId="12" fillId="6" borderId="1" xfId="0" applyFont="1" applyFill="1" applyBorder="1">
      <alignment vertical="center"/>
    </xf>
    <xf numFmtId="0" fontId="10" fillId="8" borderId="1" xfId="0" applyFont="1" applyFill="1" applyBorder="1">
      <alignment vertical="center"/>
    </xf>
    <xf numFmtId="164" fontId="10" fillId="8" borderId="1" xfId="0" applyNumberFormat="1" applyFont="1" applyFill="1" applyBorder="1">
      <alignment vertical="center"/>
    </xf>
    <xf numFmtId="0" fontId="10" fillId="0" borderId="1" xfId="0" applyFont="1" applyBorder="1">
      <alignment vertical="center"/>
    </xf>
    <xf numFmtId="164" fontId="10" fillId="0" borderId="1" xfId="0" applyNumberFormat="1" applyFont="1" applyBorder="1">
      <alignment vertical="center"/>
    </xf>
    <xf numFmtId="0" fontId="14" fillId="0" borderId="1" xfId="0" applyFont="1" applyBorder="1">
      <alignment vertical="center"/>
    </xf>
    <xf numFmtId="165" fontId="13" fillId="0" borderId="1" xfId="0" applyNumberFormat="1" applyFont="1" applyBorder="1">
      <alignment vertical="center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vertical="center" wrapText="1"/>
    </xf>
    <xf numFmtId="164" fontId="15" fillId="0" borderId="1" xfId="0" applyNumberFormat="1" applyFont="1" applyBorder="1">
      <alignment vertical="center"/>
    </xf>
    <xf numFmtId="164" fontId="16" fillId="0" borderId="1" xfId="0" applyNumberFormat="1" applyFont="1" applyBorder="1" applyAlignment="1">
      <alignment vertical="center" wrapText="1"/>
    </xf>
    <xf numFmtId="0" fontId="13" fillId="9" borderId="1" xfId="0" applyFont="1" applyFill="1" applyBorder="1">
      <alignment vertical="center"/>
    </xf>
    <xf numFmtId="0" fontId="13" fillId="9" borderId="1" xfId="0" applyFont="1" applyFill="1" applyBorder="1" applyAlignment="1">
      <alignment vertical="center" wrapText="1"/>
    </xf>
    <xf numFmtId="164" fontId="16" fillId="9" borderId="1" xfId="0" applyNumberFormat="1" applyFont="1" applyFill="1" applyBorder="1">
      <alignment vertical="center"/>
    </xf>
    <xf numFmtId="164" fontId="16" fillId="10" borderId="1" xfId="0" applyNumberFormat="1" applyFont="1" applyFill="1" applyBorder="1" applyAlignment="1">
      <alignment vertical="center" wrapText="1"/>
    </xf>
    <xf numFmtId="0" fontId="17" fillId="6" borderId="1" xfId="0" applyFont="1" applyFill="1" applyBorder="1">
      <alignment vertical="center"/>
    </xf>
    <xf numFmtId="164" fontId="17" fillId="6" borderId="1" xfId="0" applyNumberFormat="1" applyFont="1" applyFill="1" applyBorder="1" applyAlignment="1">
      <alignment vertical="center" wrapText="1"/>
    </xf>
    <xf numFmtId="0" fontId="19" fillId="7" borderId="6" xfId="0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164" fontId="18" fillId="0" borderId="6" xfId="0" applyNumberFormat="1" applyFont="1" applyBorder="1">
      <alignment vertical="center"/>
    </xf>
    <xf numFmtId="164" fontId="0" fillId="0" borderId="6" xfId="0" applyNumberFormat="1" applyBorder="1">
      <alignment vertical="center"/>
    </xf>
    <xf numFmtId="164" fontId="0" fillId="6" borderId="6" xfId="0" applyNumberFormat="1" applyFill="1" applyBorder="1">
      <alignment vertical="center"/>
    </xf>
    <xf numFmtId="0" fontId="2" fillId="6" borderId="6" xfId="0" applyFont="1" applyFill="1" applyBorder="1" applyAlignment="1">
      <alignment horizontal="right" vertical="center"/>
    </xf>
    <xf numFmtId="0" fontId="0" fillId="6" borderId="6" xfId="0" applyFill="1" applyBorder="1">
      <alignment vertical="center"/>
    </xf>
    <xf numFmtId="164" fontId="2" fillId="6" borderId="6" xfId="0" applyNumberFormat="1" applyFont="1" applyFill="1" applyBorder="1">
      <alignment vertical="center"/>
    </xf>
    <xf numFmtId="164" fontId="18" fillId="6" borderId="6" xfId="0" applyNumberFormat="1" applyFont="1" applyFill="1" applyBorder="1">
      <alignment vertical="center"/>
    </xf>
    <xf numFmtId="164" fontId="0" fillId="0" borderId="5" xfId="0" applyNumberFormat="1" applyBorder="1">
      <alignment vertical="center"/>
    </xf>
    <xf numFmtId="164" fontId="18" fillId="11" borderId="6" xfId="0" applyNumberFormat="1" applyFont="1" applyFill="1" applyBorder="1">
      <alignment vertical="center"/>
    </xf>
    <xf numFmtId="164" fontId="0" fillId="11" borderId="6" xfId="0" applyNumberFormat="1" applyFill="1" applyBorder="1">
      <alignment vertical="center"/>
    </xf>
    <xf numFmtId="0" fontId="19" fillId="7" borderId="1" xfId="0" applyFont="1" applyFill="1" applyBorder="1" applyAlignment="1">
      <alignment horizontal="center" vertical="center"/>
    </xf>
    <xf numFmtId="0" fontId="0" fillId="11" borderId="1" xfId="0" applyFill="1" applyBorder="1">
      <alignment vertical="center"/>
    </xf>
    <xf numFmtId="164" fontId="18" fillId="11" borderId="1" xfId="0" applyNumberFormat="1" applyFont="1" applyFill="1" applyBorder="1">
      <alignment vertical="center"/>
    </xf>
    <xf numFmtId="164" fontId="0" fillId="11" borderId="1" xfId="0" applyNumberFormat="1" applyFill="1" applyBorder="1">
      <alignment vertical="center"/>
    </xf>
    <xf numFmtId="164" fontId="20" fillId="6" borderId="1" xfId="0" applyNumberFormat="1" applyFont="1" applyFill="1" applyBorder="1">
      <alignment vertical="center"/>
    </xf>
    <xf numFmtId="164" fontId="0" fillId="0" borderId="1" xfId="0" applyNumberFormat="1" applyBorder="1">
      <alignment vertical="center"/>
    </xf>
    <xf numFmtId="164" fontId="18" fillId="0" borderId="1" xfId="0" applyNumberFormat="1" applyFont="1" applyBorder="1">
      <alignment vertical="center"/>
    </xf>
    <xf numFmtId="164" fontId="20" fillId="11" borderId="1" xfId="0" applyNumberFormat="1" applyFont="1" applyFill="1" applyBorder="1">
      <alignment vertical="center"/>
    </xf>
    <xf numFmtId="0" fontId="2" fillId="6" borderId="1" xfId="0" applyFont="1" applyFill="1" applyBorder="1" applyAlignment="1">
      <alignment horizontal="right" vertical="center"/>
    </xf>
    <xf numFmtId="0" fontId="0" fillId="6" borderId="1" xfId="0" applyFill="1" applyBorder="1">
      <alignment vertical="center"/>
    </xf>
    <xf numFmtId="164" fontId="2" fillId="6" borderId="1" xfId="0" applyNumberFormat="1" applyFont="1" applyFill="1" applyBorder="1">
      <alignment vertical="center"/>
    </xf>
    <xf numFmtId="164" fontId="21" fillId="11" borderId="1" xfId="0" applyNumberFormat="1" applyFont="1" applyFill="1" applyBorder="1">
      <alignment vertical="center"/>
    </xf>
    <xf numFmtId="0" fontId="22" fillId="7" borderId="6" xfId="0" applyFont="1" applyFill="1" applyBorder="1" applyAlignment="1">
      <alignment horizontal="center" vertical="center"/>
    </xf>
    <xf numFmtId="0" fontId="23" fillId="11" borderId="6" xfId="0" applyFont="1" applyFill="1" applyBorder="1">
      <alignment vertical="center"/>
    </xf>
    <xf numFmtId="164" fontId="24" fillId="6" borderId="6" xfId="0" applyNumberFormat="1" applyFont="1" applyFill="1" applyBorder="1">
      <alignment vertical="center"/>
    </xf>
    <xf numFmtId="164" fontId="23" fillId="11" borderId="6" xfId="0" applyNumberFormat="1" applyFont="1" applyFill="1" applyBorder="1">
      <alignment vertical="center"/>
    </xf>
    <xf numFmtId="0" fontId="23" fillId="0" borderId="6" xfId="0" applyFont="1" applyBorder="1">
      <alignment vertical="center"/>
    </xf>
    <xf numFmtId="164" fontId="23" fillId="0" borderId="6" xfId="0" applyNumberFormat="1" applyFont="1" applyBorder="1">
      <alignment vertical="center"/>
    </xf>
    <xf numFmtId="164" fontId="15" fillId="11" borderId="6" xfId="0" applyNumberFormat="1" applyFont="1" applyFill="1" applyBorder="1">
      <alignment vertical="center"/>
    </xf>
    <xf numFmtId="164" fontId="15" fillId="0" borderId="6" xfId="0" applyNumberFormat="1" applyFont="1" applyBorder="1">
      <alignment vertical="center"/>
    </xf>
    <xf numFmtId="0" fontId="14" fillId="6" borderId="6" xfId="0" applyFont="1" applyFill="1" applyBorder="1" applyAlignment="1">
      <alignment horizontal="right" vertical="center"/>
    </xf>
    <xf numFmtId="0" fontId="23" fillId="6" borderId="6" xfId="0" applyFont="1" applyFill="1" applyBorder="1">
      <alignment vertical="center"/>
    </xf>
    <xf numFmtId="164" fontId="14" fillId="6" borderId="6" xfId="0" applyNumberFormat="1" applyFont="1" applyFill="1" applyBorder="1">
      <alignment vertical="center"/>
    </xf>
    <xf numFmtId="0" fontId="25" fillId="12" borderId="0" xfId="0" applyFont="1" applyFill="1">
      <alignment vertical="center"/>
    </xf>
    <xf numFmtId="0" fontId="19" fillId="13" borderId="7" xfId="0" applyFont="1" applyFill="1" applyBorder="1">
      <alignment vertical="center"/>
    </xf>
    <xf numFmtId="0" fontId="19" fillId="13" borderId="7" xfId="0" applyFont="1" applyFill="1" applyBorder="1" applyAlignment="1">
      <alignment horizontal="right" vertical="center"/>
    </xf>
    <xf numFmtId="0" fontId="0" fillId="0" borderId="7" xfId="0" applyBorder="1">
      <alignment vertical="center"/>
    </xf>
    <xf numFmtId="166" fontId="20" fillId="0" borderId="7" xfId="0" applyNumberFormat="1" applyFont="1" applyBorder="1">
      <alignment vertical="center"/>
    </xf>
    <xf numFmtId="166" fontId="0" fillId="0" borderId="7" xfId="0" applyNumberFormat="1" applyBorder="1">
      <alignment vertical="center"/>
    </xf>
    <xf numFmtId="166" fontId="20" fillId="6" borderId="7" xfId="0" applyNumberFormat="1" applyFont="1" applyFill="1" applyBorder="1">
      <alignment vertical="center"/>
    </xf>
    <xf numFmtId="0" fontId="0" fillId="0" borderId="8" xfId="0" applyBorder="1">
      <alignment vertical="center"/>
    </xf>
    <xf numFmtId="166" fontId="20" fillId="6" borderId="8" xfId="0" applyNumberFormat="1" applyFont="1" applyFill="1" applyBorder="1">
      <alignment vertical="center"/>
    </xf>
    <xf numFmtId="166" fontId="0" fillId="0" borderId="8" xfId="0" applyNumberFormat="1" applyBorder="1">
      <alignment vertical="center"/>
    </xf>
    <xf numFmtId="0" fontId="2" fillId="0" borderId="9" xfId="0" applyFont="1" applyBorder="1" applyAlignment="1">
      <alignment horizontal="right" vertical="center"/>
    </xf>
    <xf numFmtId="166" fontId="2" fillId="12" borderId="10" xfId="0" applyNumberFormat="1" applyFont="1" applyFill="1" applyBorder="1">
      <alignment vertical="center"/>
    </xf>
    <xf numFmtId="166" fontId="20" fillId="0" borderId="8" xfId="0" applyNumberFormat="1" applyFont="1" applyBorder="1">
      <alignment vertical="center"/>
    </xf>
    <xf numFmtId="0" fontId="0" fillId="6" borderId="0" xfId="0" applyFill="1">
      <alignment vertical="center"/>
    </xf>
    <xf numFmtId="0" fontId="26" fillId="12" borderId="0" xfId="0" applyFont="1" applyFill="1">
      <alignment vertical="center"/>
    </xf>
    <xf numFmtId="0" fontId="0" fillId="0" borderId="11" xfId="0" applyBorder="1">
      <alignment vertical="center"/>
    </xf>
    <xf numFmtId="166" fontId="20" fillId="0" borderId="11" xfId="0" applyNumberFormat="1" applyFont="1" applyBorder="1">
      <alignment vertical="center"/>
    </xf>
    <xf numFmtId="166" fontId="0" fillId="0" borderId="11" xfId="0" applyNumberFormat="1" applyBorder="1">
      <alignment vertical="center"/>
    </xf>
    <xf numFmtId="166" fontId="20" fillId="6" borderId="11" xfId="0" applyNumberFormat="1" applyFont="1" applyFill="1" applyBorder="1">
      <alignment vertical="center"/>
    </xf>
    <xf numFmtId="0" fontId="0" fillId="0" borderId="12" xfId="0" applyBorder="1">
      <alignment vertical="center"/>
    </xf>
    <xf numFmtId="166" fontId="20" fillId="0" borderId="12" xfId="0" applyNumberFormat="1" applyFont="1" applyBorder="1">
      <alignment vertical="center"/>
    </xf>
    <xf numFmtId="166" fontId="0" fillId="0" borderId="12" xfId="0" applyNumberFormat="1" applyBorder="1">
      <alignment vertical="center"/>
    </xf>
    <xf numFmtId="0" fontId="22" fillId="13" borderId="13" xfId="0" applyFont="1" applyFill="1" applyBorder="1">
      <alignment vertical="center"/>
    </xf>
    <xf numFmtId="0" fontId="22" fillId="13" borderId="13" xfId="0" applyFont="1" applyFill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166" fontId="2" fillId="12" borderId="15" xfId="0" applyNumberFormat="1" applyFont="1" applyFill="1" applyBorder="1">
      <alignment vertical="center"/>
    </xf>
    <xf numFmtId="166" fontId="20" fillId="6" borderId="12" xfId="0" applyNumberFormat="1" applyFont="1" applyFill="1" applyBorder="1">
      <alignment vertical="center"/>
    </xf>
    <xf numFmtId="0" fontId="27" fillId="14" borderId="1" xfId="0" applyFont="1" applyFill="1" applyBorder="1" applyAlignment="1">
      <alignment horizontal="center"/>
    </xf>
    <xf numFmtId="0" fontId="0" fillId="0" borderId="1" xfId="0" applyBorder="1" applyAlignment="1"/>
    <xf numFmtId="164" fontId="0" fillId="0" borderId="1" xfId="0" applyNumberFormat="1" applyBorder="1" applyAlignment="1"/>
    <xf numFmtId="0" fontId="0" fillId="0" borderId="1" xfId="0" applyBorder="1" applyAlignment="1">
      <alignment wrapText="1"/>
    </xf>
    <xf numFmtId="0" fontId="22" fillId="13" borderId="16" xfId="0" applyFont="1" applyFill="1" applyBorder="1">
      <alignment vertical="center"/>
    </xf>
    <xf numFmtId="0" fontId="22" fillId="13" borderId="16" xfId="0" applyFont="1" applyFill="1" applyBorder="1" applyAlignment="1">
      <alignment horizontal="right" vertical="center"/>
    </xf>
    <xf numFmtId="0" fontId="19" fillId="13" borderId="11" xfId="0" applyFont="1" applyFill="1" applyBorder="1">
      <alignment vertical="center"/>
    </xf>
    <xf numFmtId="0" fontId="19" fillId="13" borderId="11" xfId="0" applyFont="1" applyFill="1" applyBorder="1" applyAlignment="1">
      <alignment horizontal="right" vertical="center"/>
    </xf>
    <xf numFmtId="0" fontId="28" fillId="15" borderId="0" xfId="0" applyFont="1" applyFill="1" applyAlignment="1"/>
    <xf numFmtId="0" fontId="0" fillId="0" borderId="0" xfId="0" applyAlignment="1"/>
    <xf numFmtId="0" fontId="0" fillId="0" borderId="0" xfId="0" applyAlignment="1"/>
    <xf numFmtId="0" fontId="29" fillId="14" borderId="6" xfId="0" applyFont="1" applyFill="1" applyBorder="1" applyAlignment="1"/>
    <xf numFmtId="0" fontId="0" fillId="0" borderId="6" xfId="0" applyBorder="1" applyAlignment="1"/>
    <xf numFmtId="167" fontId="0" fillId="0" borderId="6" xfId="0" applyNumberFormat="1" applyBorder="1" applyAlignment="1"/>
    <xf numFmtId="164" fontId="0" fillId="0" borderId="6" xfId="0" applyNumberFormat="1" applyBorder="1" applyAlignment="1"/>
    <xf numFmtId="0" fontId="29" fillId="16" borderId="6" xfId="0" applyFont="1" applyFill="1" applyBorder="1" applyAlignment="1"/>
    <xf numFmtId="164" fontId="29" fillId="16" borderId="6" xfId="0" applyNumberFormat="1" applyFont="1" applyFill="1" applyBorder="1" applyAlignment="1"/>
    <xf numFmtId="0" fontId="3" fillId="2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vertical="center"/>
    </xf>
    <xf numFmtId="0" fontId="26" fillId="12" borderId="0" xfId="0" applyFont="1" applyFill="1" applyAlignment="1">
      <alignment vertical="center"/>
    </xf>
  </cellXfs>
  <cellStyles count="1">
    <cellStyle name="Normal" xfId="0" builtinId="0"/>
  </cellStyles>
  <dxfs count="24">
    <dxf>
      <numFmt numFmtId="164" formatCode="\€#,##0.0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4" formatCode="\€#,##0.00"/>
      <fill>
        <patternFill patternType="solid">
          <fgColor indexed="64"/>
          <bgColor rgb="FFFFFF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color rgb="FFFFFFFF"/>
      </font>
      <fill>
        <patternFill patternType="solid">
          <fgColor indexed="64"/>
          <bgColor rgb="FF2E7D32"/>
        </patternFill>
      </fill>
      <alignment horizontal="center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firstColumnStripe" dxfId="17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8971E7-60DF-4AF4-8A73-F3B5043B0181}" name="DeliveryTable" displayName="DeliveryTable" ref="A1:F21" totalsRowShown="0" headerRowDxfId="6">
  <autoFilter ref="A1:F21" xr:uid="{DB8971E7-60DF-4AF4-8A73-F3B5043B0181}"/>
  <tableColumns count="6">
    <tableColumn id="2" xr3:uid="{EBCD8B06-479A-4285-972F-CB0F55123654}" name="Catagories" dataDxfId="5"/>
    <tableColumn id="3" xr3:uid="{03488CA5-152C-4748-9EFD-F64F3310ED3F}" name="Items" dataDxfId="4"/>
    <tableColumn id="4" xr3:uid="{EB5875C2-AF72-4D7B-B3AC-6004BE58A126}" name="Unit" dataDxfId="3"/>
    <tableColumn id="5" xr3:uid="{3B5D1030-E3F1-4448-BFCA-3AF826C90912}" name="Qty" dataDxfId="2"/>
    <tableColumn id="6" xr3:uid="{1701DDA0-9856-49CB-8371-F1DA755E8AFE}" name="Price / Unit (€)" dataDxfId="1"/>
    <tableColumn id="7" xr3:uid="{8BDF6E15-485C-4B49-9A00-9773A1B27F1B}" name="Total (€)" dataDxfId="0">
      <calculatedColumnFormula>D2*E2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BCCB8A3-BD7E-44CE-A293-9A766D6B9A1B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4fc54688-26e2-422d-bc86-a966b31eec0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J22"/>
  <sheetViews>
    <sheetView topLeftCell="B1" workbookViewId="0">
      <selection activeCell="N12" sqref="N12"/>
    </sheetView>
  </sheetViews>
  <sheetFormatPr defaultColWidth="9" defaultRowHeight="18" customHeight="1"/>
  <cols>
    <col min="3" max="3" width="45.75" customWidth="1"/>
    <col min="4" max="4" width="19.125" customWidth="1"/>
    <col min="5" max="5" width="29" customWidth="1"/>
    <col min="6" max="6" width="12.625" customWidth="1"/>
    <col min="7" max="7" width="5.125" customWidth="1"/>
  </cols>
  <sheetData>
    <row r="2" spans="3:10" ht="18" customHeight="1">
      <c r="C2" s="115" t="s">
        <v>0</v>
      </c>
      <c r="D2" s="115"/>
      <c r="E2" s="115"/>
      <c r="F2" s="115"/>
      <c r="G2" s="115"/>
      <c r="H2" s="115"/>
      <c r="I2" s="115"/>
    </row>
    <row r="3" spans="3:10" ht="18" customHeight="1"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</row>
    <row r="4" spans="3:10" ht="18" customHeight="1">
      <c r="C4" s="5" t="s">
        <v>8</v>
      </c>
      <c r="D4" s="6" t="s">
        <v>9</v>
      </c>
      <c r="E4" s="5" t="s">
        <v>10</v>
      </c>
      <c r="F4" s="5">
        <v>1.99</v>
      </c>
      <c r="G4" s="5" t="s">
        <v>11</v>
      </c>
      <c r="H4" s="5">
        <v>12</v>
      </c>
      <c r="I4" s="5">
        <f>F4*H4</f>
        <v>23.88</v>
      </c>
    </row>
    <row r="5" spans="3:10" ht="18" customHeight="1">
      <c r="C5" s="3" t="s">
        <v>8</v>
      </c>
      <c r="D5" s="7" t="s">
        <v>12</v>
      </c>
      <c r="E5" s="3"/>
      <c r="F5" s="3">
        <v>2</v>
      </c>
      <c r="G5" s="3" t="s">
        <v>11</v>
      </c>
      <c r="H5" s="3">
        <v>24</v>
      </c>
      <c r="I5" s="5">
        <f t="shared" ref="I5:I12" si="0">F5*H5</f>
        <v>48</v>
      </c>
    </row>
    <row r="6" spans="3:10" ht="18" customHeight="1">
      <c r="C6" s="5" t="s">
        <v>8</v>
      </c>
      <c r="D6" s="6" t="s">
        <v>13</v>
      </c>
      <c r="E6" s="5"/>
      <c r="F6" s="5">
        <v>1.59</v>
      </c>
      <c r="G6" s="5" t="s">
        <v>11</v>
      </c>
      <c r="H6" s="5">
        <v>12</v>
      </c>
      <c r="I6" s="5">
        <f t="shared" si="0"/>
        <v>19.080000000000002</v>
      </c>
    </row>
    <row r="7" spans="3:10" ht="18" customHeight="1">
      <c r="C7" s="3" t="s">
        <v>8</v>
      </c>
      <c r="D7" s="7" t="s">
        <v>14</v>
      </c>
      <c r="E7" s="3"/>
      <c r="F7" s="3">
        <v>2</v>
      </c>
      <c r="G7" s="3" t="s">
        <v>11</v>
      </c>
      <c r="H7" s="3">
        <v>6</v>
      </c>
      <c r="I7" s="5">
        <f t="shared" si="0"/>
        <v>12</v>
      </c>
    </row>
    <row r="8" spans="3:10" ht="18" customHeight="1">
      <c r="C8" s="5" t="s">
        <v>8</v>
      </c>
      <c r="D8" s="6" t="s">
        <v>15</v>
      </c>
      <c r="E8" s="5"/>
      <c r="F8" s="5">
        <v>1.29</v>
      </c>
      <c r="G8" s="5" t="s">
        <v>16</v>
      </c>
      <c r="H8" s="5">
        <v>5</v>
      </c>
      <c r="I8" s="5">
        <f t="shared" si="0"/>
        <v>6.45</v>
      </c>
      <c r="J8" s="2"/>
    </row>
    <row r="9" spans="3:10" ht="18" customHeight="1">
      <c r="C9" s="3" t="s">
        <v>8</v>
      </c>
      <c r="D9" s="7" t="s">
        <v>17</v>
      </c>
      <c r="E9" s="3"/>
      <c r="F9" s="3">
        <v>3.49</v>
      </c>
      <c r="G9" s="3" t="s">
        <v>16</v>
      </c>
      <c r="H9" s="3">
        <v>2</v>
      </c>
      <c r="I9" s="5">
        <f t="shared" si="0"/>
        <v>6.98</v>
      </c>
    </row>
    <row r="10" spans="3:10" ht="18" customHeight="1">
      <c r="C10" s="5" t="s">
        <v>8</v>
      </c>
      <c r="D10" s="6" t="s">
        <v>18</v>
      </c>
      <c r="E10" s="5"/>
      <c r="F10" s="5">
        <v>26.9</v>
      </c>
      <c r="G10" s="5" t="s">
        <v>19</v>
      </c>
      <c r="H10" s="5">
        <v>2</v>
      </c>
      <c r="I10" s="5">
        <f t="shared" si="0"/>
        <v>53.8</v>
      </c>
    </row>
    <row r="11" spans="3:10" ht="18" customHeight="1">
      <c r="C11" s="3" t="s">
        <v>8</v>
      </c>
      <c r="D11" s="7" t="s">
        <v>20</v>
      </c>
      <c r="E11" s="3"/>
      <c r="F11" s="3">
        <v>8.49</v>
      </c>
      <c r="G11" s="3" t="s">
        <v>21</v>
      </c>
      <c r="H11" s="3">
        <v>2</v>
      </c>
      <c r="I11" s="5">
        <f t="shared" si="0"/>
        <v>16.98</v>
      </c>
    </row>
    <row r="12" spans="3:10" ht="18" customHeight="1">
      <c r="C12" s="3" t="s">
        <v>8</v>
      </c>
      <c r="D12" s="7" t="s">
        <v>22</v>
      </c>
      <c r="E12" s="3"/>
      <c r="F12" s="3">
        <v>2.4500000000000002</v>
      </c>
      <c r="G12" s="3"/>
      <c r="H12" s="3">
        <v>6</v>
      </c>
      <c r="I12" s="5">
        <f t="shared" si="0"/>
        <v>14.700000000000001</v>
      </c>
    </row>
    <row r="13" spans="3:10" ht="18" customHeight="1">
      <c r="C13" s="3"/>
      <c r="D13" s="7"/>
      <c r="E13" s="3"/>
      <c r="F13" s="3"/>
      <c r="G13" s="3"/>
      <c r="H13" s="3"/>
      <c r="I13" s="3"/>
    </row>
    <row r="14" spans="3:10" ht="18" customHeight="1">
      <c r="C14" s="116" t="s">
        <v>23</v>
      </c>
      <c r="D14" s="116"/>
      <c r="E14" s="116"/>
      <c r="F14" s="116"/>
      <c r="G14" s="116"/>
      <c r="H14" s="116"/>
      <c r="I14" s="8">
        <f>SUM(I4:I13)</f>
        <v>201.86999999999998</v>
      </c>
    </row>
    <row r="22" spans="7:7" ht="18" customHeight="1">
      <c r="G22" s="1"/>
    </row>
  </sheetData>
  <mergeCells count="2">
    <mergeCell ref="C2:I2"/>
    <mergeCell ref="C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7B2D2-CB4D-4B03-B3D0-1A5586894B08}">
  <dimension ref="D6:J18"/>
  <sheetViews>
    <sheetView workbookViewId="0">
      <selection activeCell="M6" sqref="M6"/>
    </sheetView>
  </sheetViews>
  <sheetFormatPr defaultRowHeight="13.5"/>
  <cols>
    <col min="4" max="4" width="27.625" customWidth="1"/>
    <col min="5" max="5" width="23.625" customWidth="1"/>
    <col min="6" max="6" width="27.375" customWidth="1"/>
    <col min="7" max="7" width="14" customWidth="1"/>
  </cols>
  <sheetData>
    <row r="6" spans="4:10" ht="15">
      <c r="D6" s="4" t="s">
        <v>1</v>
      </c>
      <c r="E6" s="4" t="s">
        <v>2</v>
      </c>
      <c r="F6" s="4" t="s">
        <v>3</v>
      </c>
      <c r="G6" s="4" t="s">
        <v>4</v>
      </c>
      <c r="H6" s="4" t="s">
        <v>5</v>
      </c>
      <c r="I6" s="4" t="s">
        <v>6</v>
      </c>
      <c r="J6" s="4" t="s">
        <v>7</v>
      </c>
    </row>
    <row r="7" spans="4:10">
      <c r="D7" s="5" t="s">
        <v>24</v>
      </c>
      <c r="E7" s="5" t="s">
        <v>25</v>
      </c>
      <c r="F7" s="5"/>
      <c r="G7" s="5">
        <v>2.19</v>
      </c>
      <c r="H7" s="5" t="s">
        <v>16</v>
      </c>
      <c r="I7" s="5">
        <v>6</v>
      </c>
      <c r="J7" s="5">
        <f>G7*I7</f>
        <v>13.14</v>
      </c>
    </row>
    <row r="8" spans="4:10">
      <c r="D8" s="3" t="s">
        <v>24</v>
      </c>
      <c r="E8" s="3" t="s">
        <v>26</v>
      </c>
      <c r="F8" s="3"/>
      <c r="G8" s="3">
        <v>8.24</v>
      </c>
      <c r="H8" s="3" t="s">
        <v>16</v>
      </c>
      <c r="I8" s="3">
        <v>3</v>
      </c>
      <c r="J8" s="5">
        <f>G8*I8</f>
        <v>24.72</v>
      </c>
    </row>
    <row r="9" spans="4:10">
      <c r="D9" s="5" t="s">
        <v>24</v>
      </c>
      <c r="E9" s="5" t="s">
        <v>27</v>
      </c>
      <c r="F9" s="5"/>
      <c r="G9" s="5">
        <v>3.29</v>
      </c>
      <c r="H9" s="5" t="s">
        <v>16</v>
      </c>
      <c r="I9" s="5">
        <v>3</v>
      </c>
      <c r="J9" s="5">
        <f>G9*I9</f>
        <v>9.870000000000001</v>
      </c>
    </row>
    <row r="10" spans="4:10">
      <c r="D10" s="3" t="s">
        <v>24</v>
      </c>
      <c r="E10" s="3" t="s">
        <v>28</v>
      </c>
      <c r="F10" s="3"/>
      <c r="G10" s="3">
        <v>1.78</v>
      </c>
      <c r="H10" s="3" t="s">
        <v>16</v>
      </c>
      <c r="I10" s="3">
        <v>1.5</v>
      </c>
      <c r="J10" s="5">
        <f>G10*I10</f>
        <v>2.67</v>
      </c>
    </row>
    <row r="11" spans="4:10">
      <c r="D11" s="5" t="s">
        <v>24</v>
      </c>
      <c r="E11" s="5" t="s">
        <v>29</v>
      </c>
      <c r="F11" s="5"/>
      <c r="G11" s="5">
        <v>1.86</v>
      </c>
      <c r="H11" s="5" t="s">
        <v>16</v>
      </c>
      <c r="I11" s="5">
        <v>1.5</v>
      </c>
      <c r="J11" s="5">
        <f>G11*I11</f>
        <v>2.79</v>
      </c>
    </row>
    <row r="12" spans="4:10">
      <c r="D12" s="3" t="s">
        <v>24</v>
      </c>
      <c r="E12" s="3" t="s">
        <v>30</v>
      </c>
      <c r="F12" s="3"/>
      <c r="G12" s="3">
        <v>4.17</v>
      </c>
      <c r="H12" s="3" t="s">
        <v>16</v>
      </c>
      <c r="I12" s="3">
        <v>1.5</v>
      </c>
      <c r="J12" s="5">
        <f>G12*I12</f>
        <v>6.2549999999999999</v>
      </c>
    </row>
    <row r="13" spans="4:10">
      <c r="D13" s="5" t="s">
        <v>31</v>
      </c>
      <c r="E13" s="5" t="s">
        <v>32</v>
      </c>
      <c r="F13" s="5"/>
      <c r="G13" s="5">
        <v>1.1200000000000001</v>
      </c>
      <c r="H13" s="5" t="s">
        <v>33</v>
      </c>
      <c r="I13" s="5">
        <v>5</v>
      </c>
      <c r="J13" s="5">
        <f>G13*I13</f>
        <v>5.6000000000000005</v>
      </c>
    </row>
    <row r="14" spans="4:10">
      <c r="D14" s="3" t="s">
        <v>31</v>
      </c>
      <c r="E14" s="3" t="s">
        <v>32</v>
      </c>
      <c r="F14" s="3"/>
      <c r="G14" s="3">
        <v>1.1200000000000001</v>
      </c>
      <c r="H14" s="5" t="s">
        <v>33</v>
      </c>
      <c r="I14" s="3">
        <v>5</v>
      </c>
      <c r="J14" s="5">
        <f>G14*I14</f>
        <v>5.6000000000000005</v>
      </c>
    </row>
    <row r="15" spans="4:10">
      <c r="D15" s="5" t="s">
        <v>31</v>
      </c>
      <c r="E15" s="5" t="s">
        <v>34</v>
      </c>
      <c r="F15" s="3"/>
      <c r="G15" s="3">
        <v>0.6</v>
      </c>
      <c r="H15" s="5" t="s">
        <v>33</v>
      </c>
      <c r="I15" s="3">
        <v>4</v>
      </c>
      <c r="J15" s="5">
        <f>G15*I15</f>
        <v>2.4</v>
      </c>
    </row>
    <row r="16" spans="4:10">
      <c r="D16" s="3" t="s">
        <v>31</v>
      </c>
      <c r="E16" s="3" t="s">
        <v>35</v>
      </c>
      <c r="F16" s="3"/>
      <c r="G16" s="3">
        <v>0.55000000000000004</v>
      </c>
      <c r="H16" s="5" t="s">
        <v>33</v>
      </c>
      <c r="I16" s="3">
        <v>4</v>
      </c>
      <c r="J16" s="3">
        <f>G16*I16</f>
        <v>2.2000000000000002</v>
      </c>
    </row>
    <row r="17" spans="4:10">
      <c r="D17" s="5" t="s">
        <v>31</v>
      </c>
      <c r="E17" s="5" t="s">
        <v>36</v>
      </c>
      <c r="F17" s="3"/>
      <c r="G17" s="3">
        <v>0.67</v>
      </c>
      <c r="H17" s="5" t="s">
        <v>33</v>
      </c>
      <c r="I17" s="3">
        <v>4</v>
      </c>
      <c r="J17" s="3">
        <f>G17*I17</f>
        <v>2.68</v>
      </c>
    </row>
    <row r="18" spans="4:10">
      <c r="D18" s="116" t="s">
        <v>37</v>
      </c>
      <c r="E18" s="116"/>
      <c r="F18" s="116"/>
      <c r="G18" s="116"/>
      <c r="H18" s="116"/>
      <c r="I18" s="116"/>
      <c r="J18" s="8">
        <f>SUM(J7:J17)</f>
        <v>77.925000000000011</v>
      </c>
    </row>
  </sheetData>
  <mergeCells count="1">
    <mergeCell ref="D18:I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CD382-0F5A-4917-B578-5A1F38064A1D}">
  <dimension ref="A1:G13"/>
  <sheetViews>
    <sheetView workbookViewId="0"/>
  </sheetViews>
  <sheetFormatPr defaultRowHeight="13.5"/>
  <cols>
    <col min="1" max="1" width="16.625" customWidth="1"/>
    <col min="2" max="2" width="29.375" customWidth="1"/>
    <col min="3" max="3" width="19.75" customWidth="1"/>
    <col min="4" max="4" width="13.75" bestFit="1" customWidth="1"/>
    <col min="5" max="5" width="4.625" bestFit="1" customWidth="1"/>
    <col min="6" max="6" width="8.75" bestFit="1" customWidth="1"/>
    <col min="7" max="7" width="8.125" bestFit="1" customWidth="1"/>
  </cols>
  <sheetData>
    <row r="1" spans="1:7" ht="1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>
      <c r="A2" s="5" t="s">
        <v>24</v>
      </c>
      <c r="B2" s="5" t="s">
        <v>38</v>
      </c>
      <c r="C2" s="5"/>
      <c r="D2" s="5">
        <v>2.19</v>
      </c>
      <c r="E2" s="5" t="s">
        <v>16</v>
      </c>
      <c r="F2" s="5">
        <v>3</v>
      </c>
      <c r="G2" s="5">
        <f>D2*F2</f>
        <v>6.57</v>
      </c>
    </row>
    <row r="3" spans="1:7">
      <c r="A3" s="3" t="s">
        <v>24</v>
      </c>
      <c r="B3" s="3" t="s">
        <v>39</v>
      </c>
      <c r="C3" s="3" t="s">
        <v>40</v>
      </c>
      <c r="D3" s="3">
        <v>1.97</v>
      </c>
      <c r="E3" s="3" t="s">
        <v>41</v>
      </c>
      <c r="F3" s="3">
        <v>3</v>
      </c>
      <c r="G3" s="5">
        <f>D3*F3</f>
        <v>5.91</v>
      </c>
    </row>
    <row r="4" spans="1:7">
      <c r="A4" s="5" t="s">
        <v>24</v>
      </c>
      <c r="B4" s="5" t="s">
        <v>42</v>
      </c>
      <c r="C4" s="5"/>
      <c r="D4" s="5">
        <v>1.64</v>
      </c>
      <c r="E4" s="5" t="s">
        <v>16</v>
      </c>
      <c r="F4" s="5">
        <v>3</v>
      </c>
      <c r="G4" s="5">
        <f>D4*F4</f>
        <v>4.92</v>
      </c>
    </row>
    <row r="5" spans="1:7">
      <c r="A5" s="3" t="s">
        <v>24</v>
      </c>
      <c r="B5" s="3" t="s">
        <v>43</v>
      </c>
      <c r="C5" s="3"/>
      <c r="D5" s="3">
        <v>2.4700000000000002</v>
      </c>
      <c r="E5" s="3" t="s">
        <v>16</v>
      </c>
      <c r="F5" s="3">
        <v>1</v>
      </c>
      <c r="G5" s="5">
        <f>D5*F5</f>
        <v>2.4700000000000002</v>
      </c>
    </row>
    <row r="6" spans="1:7">
      <c r="A6" s="5" t="s">
        <v>24</v>
      </c>
      <c r="B6" s="5" t="s">
        <v>44</v>
      </c>
      <c r="C6" s="5"/>
      <c r="D6" s="5">
        <v>2.96</v>
      </c>
      <c r="E6" s="5" t="s">
        <v>41</v>
      </c>
      <c r="F6" s="5">
        <v>3</v>
      </c>
      <c r="G6" s="5">
        <f>D6*F6</f>
        <v>8.879999999999999</v>
      </c>
    </row>
    <row r="7" spans="1:7">
      <c r="A7" s="3" t="s">
        <v>24</v>
      </c>
      <c r="B7" s="3" t="s">
        <v>45</v>
      </c>
      <c r="C7" s="3"/>
      <c r="D7" s="3">
        <v>2.04</v>
      </c>
      <c r="E7" s="3" t="s">
        <v>16</v>
      </c>
      <c r="F7" s="3">
        <v>3</v>
      </c>
      <c r="G7" s="5">
        <f>D7*F7</f>
        <v>6.12</v>
      </c>
    </row>
    <row r="8" spans="1:7">
      <c r="A8" s="5" t="s">
        <v>31</v>
      </c>
      <c r="B8" s="5" t="s">
        <v>46</v>
      </c>
      <c r="C8" s="5"/>
      <c r="D8" s="5">
        <v>0.55000000000000004</v>
      </c>
      <c r="E8" s="5" t="s">
        <v>33</v>
      </c>
      <c r="F8" s="5">
        <v>4</v>
      </c>
      <c r="G8" s="5">
        <f>D8*F8</f>
        <v>2.2000000000000002</v>
      </c>
    </row>
    <row r="9" spans="1:7">
      <c r="A9" s="3" t="s">
        <v>31</v>
      </c>
      <c r="B9" s="3" t="s">
        <v>47</v>
      </c>
      <c r="C9" s="3"/>
      <c r="D9" s="3">
        <v>0.67</v>
      </c>
      <c r="E9" s="5" t="s">
        <v>33</v>
      </c>
      <c r="F9" s="3">
        <v>5</v>
      </c>
      <c r="G9" s="5">
        <f>D9*F9</f>
        <v>3.35</v>
      </c>
    </row>
    <row r="10" spans="1:7">
      <c r="A10" s="5" t="s">
        <v>31</v>
      </c>
      <c r="B10" t="s">
        <v>48</v>
      </c>
      <c r="C10" s="3"/>
      <c r="D10" s="3">
        <v>0.67</v>
      </c>
      <c r="E10" s="5" t="s">
        <v>33</v>
      </c>
      <c r="F10" s="3">
        <v>3</v>
      </c>
      <c r="G10" s="5">
        <f>D10*F10</f>
        <v>2.0100000000000002</v>
      </c>
    </row>
    <row r="11" spans="1:7">
      <c r="A11" s="3" t="s">
        <v>31</v>
      </c>
      <c r="B11" s="5" t="s">
        <v>49</v>
      </c>
      <c r="C11" s="3"/>
      <c r="D11" s="3">
        <v>0.55000000000000004</v>
      </c>
      <c r="E11" s="5" t="s">
        <v>33</v>
      </c>
      <c r="F11" s="3">
        <v>5</v>
      </c>
      <c r="G11" s="3">
        <f>D11*F11</f>
        <v>2.75</v>
      </c>
    </row>
    <row r="12" spans="1:7">
      <c r="A12" s="5"/>
      <c r="B12" s="5"/>
      <c r="C12" s="3"/>
      <c r="D12" s="3"/>
      <c r="E12" s="5"/>
      <c r="F12" s="3"/>
      <c r="G12" s="3"/>
    </row>
    <row r="13" spans="1:7">
      <c r="A13" s="116" t="s">
        <v>37</v>
      </c>
      <c r="B13" s="116"/>
      <c r="C13" s="116"/>
      <c r="D13" s="116"/>
      <c r="E13" s="116"/>
      <c r="F13" s="116"/>
      <c r="G13" s="8">
        <f>SUM(G2:G12)</f>
        <v>45.18</v>
      </c>
    </row>
  </sheetData>
  <mergeCells count="1">
    <mergeCell ref="A13:F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A5053-350F-4E8B-B83C-F5EB4E7325FE}">
  <dimension ref="A1:G16"/>
  <sheetViews>
    <sheetView workbookViewId="0"/>
  </sheetViews>
  <sheetFormatPr defaultRowHeight="13.5"/>
  <cols>
    <col min="1" max="1" width="9.125" bestFit="1" customWidth="1"/>
    <col min="2" max="2" width="25.75" customWidth="1"/>
    <col min="3" max="3" width="11.375" bestFit="1" customWidth="1"/>
    <col min="4" max="4" width="13.75" bestFit="1" customWidth="1"/>
    <col min="5" max="5" width="4.625" bestFit="1" customWidth="1"/>
    <col min="6" max="6" width="8.75" bestFit="1" customWidth="1"/>
    <col min="7" max="7" width="8.125" bestFit="1" customWidth="1"/>
  </cols>
  <sheetData>
    <row r="1" spans="1:7" ht="1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>
      <c r="A2" s="5" t="s">
        <v>24</v>
      </c>
      <c r="B2" s="5" t="s">
        <v>38</v>
      </c>
      <c r="C2" s="5"/>
      <c r="D2" s="5">
        <v>2.19</v>
      </c>
      <c r="E2" s="5" t="s">
        <v>16</v>
      </c>
      <c r="F2" s="5">
        <v>6</v>
      </c>
      <c r="G2" s="5">
        <f>D2*F2</f>
        <v>13.14</v>
      </c>
    </row>
    <row r="3" spans="1:7">
      <c r="A3" s="3" t="s">
        <v>24</v>
      </c>
      <c r="B3" s="3" t="s">
        <v>39</v>
      </c>
      <c r="C3" s="3" t="s">
        <v>40</v>
      </c>
      <c r="D3" s="3">
        <v>1.97</v>
      </c>
      <c r="E3" s="3" t="s">
        <v>41</v>
      </c>
      <c r="F3" s="3">
        <v>3</v>
      </c>
      <c r="G3" s="5">
        <f>D3*F3</f>
        <v>5.91</v>
      </c>
    </row>
    <row r="4" spans="1:7">
      <c r="A4" s="5" t="s">
        <v>24</v>
      </c>
      <c r="B4" s="5" t="s">
        <v>42</v>
      </c>
      <c r="C4" s="5"/>
      <c r="D4" s="5">
        <v>1.64</v>
      </c>
      <c r="E4" s="5" t="s">
        <v>16</v>
      </c>
      <c r="F4" s="5">
        <v>3</v>
      </c>
      <c r="G4" s="5">
        <f>D4*F4</f>
        <v>4.92</v>
      </c>
    </row>
    <row r="5" spans="1:7">
      <c r="A5" s="3" t="s">
        <v>24</v>
      </c>
      <c r="B5" s="3" t="s">
        <v>43</v>
      </c>
      <c r="C5" s="3"/>
      <c r="D5" s="3">
        <v>2.4700000000000002</v>
      </c>
      <c r="E5" s="3" t="s">
        <v>16</v>
      </c>
      <c r="F5" s="3">
        <v>2.5</v>
      </c>
      <c r="G5" s="5">
        <f>D5*F5</f>
        <v>6.1750000000000007</v>
      </c>
    </row>
    <row r="6" spans="1:7">
      <c r="A6" s="3" t="s">
        <v>24</v>
      </c>
      <c r="B6" s="3" t="s">
        <v>50</v>
      </c>
      <c r="C6" s="3"/>
      <c r="D6" s="3">
        <v>2.79</v>
      </c>
      <c r="E6" s="3" t="s">
        <v>16</v>
      </c>
      <c r="F6" s="3">
        <v>1.5</v>
      </c>
      <c r="G6" s="5">
        <f>F6*D6</f>
        <v>4.1850000000000005</v>
      </c>
    </row>
    <row r="7" spans="1:7">
      <c r="A7" s="5" t="s">
        <v>24</v>
      </c>
      <c r="B7" s="5" t="s">
        <v>44</v>
      </c>
      <c r="C7" s="5"/>
      <c r="D7" s="5">
        <v>2.96</v>
      </c>
      <c r="E7" s="5" t="s">
        <v>41</v>
      </c>
      <c r="F7" s="5">
        <v>3</v>
      </c>
      <c r="G7" s="5">
        <f>D7*F7</f>
        <v>8.879999999999999</v>
      </c>
    </row>
    <row r="8" spans="1:7">
      <c r="A8" s="5" t="s">
        <v>24</v>
      </c>
      <c r="B8" s="5" t="s">
        <v>42</v>
      </c>
      <c r="C8" s="5"/>
      <c r="D8" s="5">
        <v>1.29</v>
      </c>
      <c r="E8" s="5" t="s">
        <v>16</v>
      </c>
      <c r="F8" s="5">
        <v>3</v>
      </c>
      <c r="G8" s="5">
        <f>F8*D8</f>
        <v>3.87</v>
      </c>
    </row>
    <row r="9" spans="1:7">
      <c r="A9" s="3" t="s">
        <v>24</v>
      </c>
      <c r="B9" s="3" t="s">
        <v>45</v>
      </c>
      <c r="C9" s="3"/>
      <c r="D9" s="3">
        <v>2.04</v>
      </c>
      <c r="E9" s="3" t="s">
        <v>16</v>
      </c>
      <c r="F9" s="3">
        <v>3</v>
      </c>
      <c r="G9" s="5">
        <f>D9*F9</f>
        <v>6.12</v>
      </c>
    </row>
    <row r="10" spans="1:7">
      <c r="A10" s="5" t="s">
        <v>31</v>
      </c>
      <c r="B10" s="5" t="s">
        <v>46</v>
      </c>
      <c r="C10" s="5"/>
      <c r="D10" s="5">
        <v>0.55000000000000004</v>
      </c>
      <c r="E10" s="5" t="s">
        <v>33</v>
      </c>
      <c r="F10" s="5">
        <v>4</v>
      </c>
      <c r="G10" s="5">
        <f>D10*F10</f>
        <v>2.2000000000000002</v>
      </c>
    </row>
    <row r="11" spans="1:7">
      <c r="A11" s="3" t="s">
        <v>31</v>
      </c>
      <c r="B11" s="3" t="s">
        <v>51</v>
      </c>
      <c r="C11" s="3"/>
      <c r="D11" s="3">
        <v>0.67</v>
      </c>
      <c r="E11" s="5" t="s">
        <v>33</v>
      </c>
      <c r="F11" s="3">
        <v>5</v>
      </c>
      <c r="G11" s="5">
        <f>D11*F11</f>
        <v>3.35</v>
      </c>
    </row>
    <row r="12" spans="1:7">
      <c r="A12" s="3" t="s">
        <v>31</v>
      </c>
      <c r="B12" s="9" t="s">
        <v>52</v>
      </c>
      <c r="C12" s="3"/>
      <c r="D12" s="3">
        <v>0.79</v>
      </c>
      <c r="E12" s="5" t="s">
        <v>33</v>
      </c>
      <c r="F12" s="3">
        <v>6</v>
      </c>
      <c r="G12" s="5">
        <f>F12*D12</f>
        <v>4.74</v>
      </c>
    </row>
    <row r="13" spans="1:7">
      <c r="A13" s="11" t="s">
        <v>31</v>
      </c>
      <c r="B13" s="10" t="s">
        <v>48</v>
      </c>
      <c r="C13" s="12"/>
      <c r="D13" s="3">
        <v>0.67</v>
      </c>
      <c r="E13" s="5" t="s">
        <v>33</v>
      </c>
      <c r="F13" s="3">
        <v>4</v>
      </c>
      <c r="G13" s="5">
        <f>D13*F13</f>
        <v>2.68</v>
      </c>
    </row>
    <row r="14" spans="1:7">
      <c r="A14" s="3" t="s">
        <v>31</v>
      </c>
      <c r="B14" s="13" t="s">
        <v>49</v>
      </c>
      <c r="C14" s="3"/>
      <c r="D14" s="3">
        <v>0.55000000000000004</v>
      </c>
      <c r="E14" s="5" t="s">
        <v>33</v>
      </c>
      <c r="F14" s="3">
        <v>5</v>
      </c>
      <c r="G14" s="3">
        <f>D14*F14</f>
        <v>2.75</v>
      </c>
    </row>
    <row r="15" spans="1:7">
      <c r="A15" s="5" t="s">
        <v>53</v>
      </c>
      <c r="B15" s="5" t="s">
        <v>54</v>
      </c>
      <c r="C15" s="3"/>
      <c r="D15" s="3">
        <v>1.89</v>
      </c>
      <c r="E15" s="5" t="s">
        <v>55</v>
      </c>
      <c r="F15" s="3">
        <v>6</v>
      </c>
      <c r="G15" s="3">
        <f>F15*D15</f>
        <v>11.34</v>
      </c>
    </row>
    <row r="16" spans="1:7">
      <c r="A16" s="117" t="s">
        <v>37</v>
      </c>
      <c r="B16" s="117"/>
      <c r="C16" s="117"/>
      <c r="D16" s="117"/>
      <c r="E16" s="117"/>
      <c r="F16" s="117"/>
      <c r="G16" s="14">
        <f>SUM(G2:G15)</f>
        <v>80.260000000000005</v>
      </c>
    </row>
  </sheetData>
  <mergeCells count="1">
    <mergeCell ref="A16:F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498A4-367B-4BA9-85D0-7821AEAB4249}">
  <dimension ref="A1:G14"/>
  <sheetViews>
    <sheetView workbookViewId="0">
      <selection activeCell="B4" sqref="B4"/>
    </sheetView>
  </sheetViews>
  <sheetFormatPr defaultRowHeight="13.5"/>
  <cols>
    <col min="1" max="1" width="9.125" bestFit="1" customWidth="1"/>
    <col min="2" max="2" width="22.125" customWidth="1"/>
    <col min="3" max="3" width="11.375" bestFit="1" customWidth="1"/>
    <col min="4" max="4" width="13.75" bestFit="1" customWidth="1"/>
    <col min="5" max="5" width="4.625" bestFit="1" customWidth="1"/>
    <col min="6" max="6" width="8.75" bestFit="1" customWidth="1"/>
    <col min="7" max="7" width="8.125" bestFit="1" customWidth="1"/>
  </cols>
  <sheetData>
    <row r="1" spans="1:7" ht="1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>
      <c r="A2" s="5" t="s">
        <v>24</v>
      </c>
      <c r="B2" s="5" t="s">
        <v>38</v>
      </c>
      <c r="C2" s="5"/>
      <c r="D2" s="5">
        <v>1.62</v>
      </c>
      <c r="E2" s="5" t="s">
        <v>16</v>
      </c>
      <c r="F2" s="5">
        <v>6.5</v>
      </c>
      <c r="G2" s="5">
        <f>D2*F2</f>
        <v>10.530000000000001</v>
      </c>
    </row>
    <row r="3" spans="1:7">
      <c r="A3" s="3" t="s">
        <v>24</v>
      </c>
      <c r="B3" s="3" t="s">
        <v>39</v>
      </c>
      <c r="C3" s="3" t="s">
        <v>40</v>
      </c>
      <c r="D3" s="3">
        <v>2.34</v>
      </c>
      <c r="E3" s="3" t="s">
        <v>41</v>
      </c>
      <c r="F3" s="3">
        <v>2.5</v>
      </c>
      <c r="G3" s="5">
        <f>D3*F3</f>
        <v>5.85</v>
      </c>
    </row>
    <row r="4" spans="1:7">
      <c r="A4" s="5" t="s">
        <v>24</v>
      </c>
      <c r="B4" s="5" t="s">
        <v>42</v>
      </c>
      <c r="C4" s="5"/>
      <c r="D4" s="5">
        <v>1.64</v>
      </c>
      <c r="E4" s="5" t="s">
        <v>16</v>
      </c>
      <c r="F4" s="5">
        <v>3.5</v>
      </c>
      <c r="G4" s="5">
        <f>D4*F4</f>
        <v>5.7399999999999993</v>
      </c>
    </row>
    <row r="5" spans="1:7">
      <c r="A5" s="3" t="s">
        <v>24</v>
      </c>
      <c r="B5" s="3" t="s">
        <v>43</v>
      </c>
      <c r="C5" s="3"/>
      <c r="D5" s="3">
        <v>4.9400000000000004</v>
      </c>
      <c r="E5" s="3" t="s">
        <v>16</v>
      </c>
      <c r="F5" s="3">
        <v>1.5</v>
      </c>
      <c r="G5" s="5">
        <f>D5*F5</f>
        <v>7.41</v>
      </c>
    </row>
    <row r="6" spans="1:7">
      <c r="A6" s="3" t="s">
        <v>24</v>
      </c>
      <c r="B6" s="3" t="s">
        <v>50</v>
      </c>
      <c r="C6" s="3"/>
      <c r="D6" s="3">
        <v>1.79</v>
      </c>
      <c r="E6" s="3" t="s">
        <v>16</v>
      </c>
      <c r="F6" s="3">
        <v>3.3</v>
      </c>
      <c r="G6" s="5">
        <f>F6*D6</f>
        <v>5.907</v>
      </c>
    </row>
    <row r="7" spans="1:7">
      <c r="A7" s="5" t="s">
        <v>56</v>
      </c>
      <c r="B7" s="5" t="s">
        <v>57</v>
      </c>
      <c r="C7" s="5" t="s">
        <v>58</v>
      </c>
      <c r="D7" s="5">
        <v>1.86</v>
      </c>
      <c r="E7" s="5" t="s">
        <v>41</v>
      </c>
      <c r="F7" s="5">
        <v>3</v>
      </c>
      <c r="G7" s="5">
        <f>D7*F7</f>
        <v>5.58</v>
      </c>
    </row>
    <row r="8" spans="1:7">
      <c r="A8" s="5" t="s">
        <v>24</v>
      </c>
      <c r="B8" s="5" t="s">
        <v>59</v>
      </c>
      <c r="C8" s="5"/>
      <c r="D8" s="5">
        <v>2.42</v>
      </c>
      <c r="E8" s="5" t="s">
        <v>16</v>
      </c>
      <c r="F8" s="5">
        <v>0.3</v>
      </c>
      <c r="G8" s="5">
        <f>F8*D8</f>
        <v>0.72599999999999998</v>
      </c>
    </row>
    <row r="9" spans="1:7">
      <c r="A9" s="3" t="s">
        <v>24</v>
      </c>
      <c r="B9" s="3" t="s">
        <v>45</v>
      </c>
      <c r="C9" s="3"/>
      <c r="D9" s="3">
        <v>2.04</v>
      </c>
      <c r="E9" s="3" t="s">
        <v>16</v>
      </c>
      <c r="F9" s="3">
        <v>3.4</v>
      </c>
      <c r="G9" s="5">
        <f>D9*F9</f>
        <v>6.9359999999999999</v>
      </c>
    </row>
    <row r="10" spans="1:7">
      <c r="A10" s="3" t="s">
        <v>31</v>
      </c>
      <c r="B10" s="3" t="s">
        <v>60</v>
      </c>
      <c r="C10" s="3"/>
      <c r="D10" s="3">
        <v>4</v>
      </c>
      <c r="E10" s="3" t="s">
        <v>33</v>
      </c>
      <c r="F10" s="3">
        <v>1.61</v>
      </c>
      <c r="G10" s="5">
        <f>F10*D10</f>
        <v>6.44</v>
      </c>
    </row>
    <row r="11" spans="1:7">
      <c r="A11" s="5" t="s">
        <v>31</v>
      </c>
      <c r="B11" s="5" t="s">
        <v>46</v>
      </c>
      <c r="C11" s="5"/>
      <c r="D11" s="5">
        <v>0.55000000000000004</v>
      </c>
      <c r="E11" s="5" t="s">
        <v>33</v>
      </c>
      <c r="F11" s="5">
        <v>4</v>
      </c>
      <c r="G11" s="5">
        <f>D11*F11</f>
        <v>2.2000000000000002</v>
      </c>
    </row>
    <row r="12" spans="1:7">
      <c r="A12" s="3" t="s">
        <v>31</v>
      </c>
      <c r="B12" s="3" t="s">
        <v>51</v>
      </c>
      <c r="C12" s="3"/>
      <c r="D12" s="3">
        <v>0.67</v>
      </c>
      <c r="E12" s="5" t="s">
        <v>33</v>
      </c>
      <c r="F12" s="3">
        <v>5</v>
      </c>
      <c r="G12" s="5">
        <f>D12*F12</f>
        <v>3.35</v>
      </c>
    </row>
    <row r="13" spans="1:7">
      <c r="A13" s="11" t="s">
        <v>31</v>
      </c>
      <c r="B13" s="10" t="s">
        <v>48</v>
      </c>
      <c r="C13" s="12"/>
      <c r="D13" s="3">
        <v>0.67</v>
      </c>
      <c r="E13" s="5" t="s">
        <v>33</v>
      </c>
      <c r="F13" s="3">
        <v>4</v>
      </c>
      <c r="G13" s="5">
        <f>D13*F13</f>
        <v>2.68</v>
      </c>
    </row>
    <row r="14" spans="1:7">
      <c r="A14" s="117" t="s">
        <v>37</v>
      </c>
      <c r="B14" s="117"/>
      <c r="C14" s="117"/>
      <c r="D14" s="117"/>
      <c r="E14" s="117"/>
      <c r="F14" s="117"/>
      <c r="G14" s="14">
        <f>SUM(G2:G13)</f>
        <v>63.348999999999997</v>
      </c>
    </row>
  </sheetData>
  <mergeCells count="1">
    <mergeCell ref="A14:F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9B1C6-44B1-485C-8818-984C6B674218}">
  <dimension ref="A1:G20"/>
  <sheetViews>
    <sheetView workbookViewId="0">
      <selection activeCell="D11" sqref="D11"/>
    </sheetView>
  </sheetViews>
  <sheetFormatPr defaultRowHeight="15.75" customHeight="1"/>
  <cols>
    <col min="1" max="1" width="9.125" bestFit="1" customWidth="1"/>
    <col min="2" max="2" width="20.375" bestFit="1" customWidth="1"/>
    <col min="3" max="3" width="11.375" bestFit="1" customWidth="1"/>
    <col min="4" max="4" width="13.75" bestFit="1" customWidth="1"/>
    <col min="5" max="5" width="4.625" bestFit="1" customWidth="1"/>
    <col min="6" max="6" width="8.75" bestFit="1" customWidth="1"/>
    <col min="7" max="7" width="8.125" bestFit="1" customWidth="1"/>
  </cols>
  <sheetData>
    <row r="1" spans="1:7" ht="15.75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ht="15.75" customHeight="1">
      <c r="A2" s="5" t="s">
        <v>24</v>
      </c>
      <c r="B2" s="5" t="s">
        <v>38</v>
      </c>
      <c r="C2" s="5"/>
      <c r="D2" s="5">
        <v>1.62</v>
      </c>
      <c r="E2" s="5" t="s">
        <v>16</v>
      </c>
      <c r="F2" s="5">
        <v>6</v>
      </c>
      <c r="G2" s="5">
        <f>D2*F2</f>
        <v>9.7200000000000006</v>
      </c>
    </row>
    <row r="3" spans="1:7" ht="15.75" customHeight="1">
      <c r="A3" s="3" t="s">
        <v>24</v>
      </c>
      <c r="B3" s="3" t="s">
        <v>39</v>
      </c>
      <c r="C3" s="3" t="s">
        <v>40</v>
      </c>
      <c r="D3" s="3">
        <v>2.34</v>
      </c>
      <c r="E3" s="3" t="s">
        <v>41</v>
      </c>
      <c r="F3" s="3">
        <v>2</v>
      </c>
      <c r="G3" s="5">
        <f>D3*F3</f>
        <v>4.68</v>
      </c>
    </row>
    <row r="4" spans="1:7" ht="15.75" customHeight="1">
      <c r="A4" s="5" t="s">
        <v>24</v>
      </c>
      <c r="B4" s="5" t="s">
        <v>42</v>
      </c>
      <c r="C4" s="5"/>
      <c r="D4" s="5">
        <v>1.64</v>
      </c>
      <c r="E4" s="5" t="s">
        <v>16</v>
      </c>
      <c r="F4" s="5">
        <v>3</v>
      </c>
      <c r="G4" s="5">
        <f>D4*F4</f>
        <v>4.92</v>
      </c>
    </row>
    <row r="5" spans="1:7" ht="15.75" customHeight="1">
      <c r="A5" s="3" t="s">
        <v>24</v>
      </c>
      <c r="B5" s="3" t="s">
        <v>43</v>
      </c>
      <c r="C5" s="3"/>
      <c r="D5" s="3">
        <v>4.9400000000000004</v>
      </c>
      <c r="E5" s="3" t="s">
        <v>16</v>
      </c>
      <c r="F5" s="3">
        <v>0.5</v>
      </c>
      <c r="G5" s="5">
        <f>D5*F5</f>
        <v>2.4700000000000002</v>
      </c>
    </row>
    <row r="6" spans="1:7" ht="15.75" customHeight="1">
      <c r="A6" s="3" t="s">
        <v>24</v>
      </c>
      <c r="B6" s="3" t="s">
        <v>50</v>
      </c>
      <c r="C6" s="3"/>
      <c r="D6" s="3">
        <v>1.79</v>
      </c>
      <c r="E6" s="3" t="s">
        <v>16</v>
      </c>
      <c r="F6" s="3">
        <v>3</v>
      </c>
      <c r="G6" s="5">
        <f>F6*D6</f>
        <v>5.37</v>
      </c>
    </row>
    <row r="7" spans="1:7" ht="15.75" customHeight="1">
      <c r="A7" s="5" t="s">
        <v>56</v>
      </c>
      <c r="B7" s="5" t="s">
        <v>57</v>
      </c>
      <c r="C7" s="5" t="s">
        <v>58</v>
      </c>
      <c r="D7" s="5">
        <v>1.86</v>
      </c>
      <c r="E7" s="5" t="s">
        <v>41</v>
      </c>
      <c r="F7" s="5">
        <v>1</v>
      </c>
      <c r="G7" s="5">
        <f>D7*F7</f>
        <v>1.86</v>
      </c>
    </row>
    <row r="8" spans="1:7" ht="15.75" customHeight="1">
      <c r="A8" s="5" t="s">
        <v>24</v>
      </c>
      <c r="B8" s="5" t="s">
        <v>44</v>
      </c>
      <c r="C8" s="5" t="s">
        <v>61</v>
      </c>
      <c r="D8" s="5">
        <v>2.96</v>
      </c>
      <c r="E8" s="5" t="s">
        <v>16</v>
      </c>
      <c r="F8" s="5">
        <v>1</v>
      </c>
      <c r="G8" s="5">
        <f>F8*D8</f>
        <v>2.96</v>
      </c>
    </row>
    <row r="9" spans="1:7" ht="15.75" customHeight="1">
      <c r="A9" s="5" t="s">
        <v>56</v>
      </c>
      <c r="B9" s="5" t="s">
        <v>62</v>
      </c>
      <c r="C9" s="5" t="s">
        <v>63</v>
      </c>
      <c r="D9" s="5">
        <v>8.7899999999999991</v>
      </c>
      <c r="E9" s="5" t="s">
        <v>16</v>
      </c>
      <c r="F9" s="5">
        <v>0.75</v>
      </c>
      <c r="G9" s="5">
        <f>F9*D9</f>
        <v>6.5924999999999994</v>
      </c>
    </row>
    <row r="10" spans="1:7" ht="15.75" customHeight="1">
      <c r="A10" s="5" t="s">
        <v>56</v>
      </c>
      <c r="B10" s="5" t="s">
        <v>64</v>
      </c>
      <c r="C10" s="5" t="s">
        <v>63</v>
      </c>
      <c r="D10" s="5">
        <v>2.64</v>
      </c>
      <c r="E10" s="5" t="s">
        <v>16</v>
      </c>
      <c r="F10" s="5">
        <v>0.75</v>
      </c>
      <c r="G10" s="5">
        <f>F10*D10</f>
        <v>1.98</v>
      </c>
    </row>
    <row r="11" spans="1:7" ht="15.75" customHeight="1">
      <c r="A11" s="5" t="s">
        <v>56</v>
      </c>
      <c r="B11" s="5" t="s">
        <v>65</v>
      </c>
      <c r="C11" s="5" t="s">
        <v>63</v>
      </c>
      <c r="D11" s="5">
        <v>1.42</v>
      </c>
      <c r="E11" s="5" t="s">
        <v>16</v>
      </c>
      <c r="F11" s="5">
        <v>0.75</v>
      </c>
      <c r="G11" s="5">
        <f>F11*D11</f>
        <v>1.0649999999999999</v>
      </c>
    </row>
    <row r="12" spans="1:7" ht="15.75" customHeight="1">
      <c r="A12" s="3" t="s">
        <v>24</v>
      </c>
      <c r="B12" s="3" t="s">
        <v>45</v>
      </c>
      <c r="C12" s="3"/>
      <c r="D12" s="3">
        <v>2.04</v>
      </c>
      <c r="E12" s="3" t="s">
        <v>16</v>
      </c>
      <c r="F12" s="3">
        <v>3</v>
      </c>
      <c r="G12" s="5">
        <f>D12*F12</f>
        <v>6.12</v>
      </c>
    </row>
    <row r="13" spans="1:7" ht="15.75" customHeight="1">
      <c r="A13" s="5" t="s">
        <v>31</v>
      </c>
      <c r="B13" s="5" t="s">
        <v>66</v>
      </c>
      <c r="C13" s="5"/>
      <c r="D13" s="5">
        <v>1.1200000000000001</v>
      </c>
      <c r="E13" s="5"/>
      <c r="F13" s="5">
        <v>4</v>
      </c>
      <c r="G13" s="5">
        <f>F13*D13</f>
        <v>4.4800000000000004</v>
      </c>
    </row>
    <row r="14" spans="1:7" ht="15.75" customHeight="1">
      <c r="A14" s="5" t="s">
        <v>31</v>
      </c>
      <c r="B14" s="5" t="s">
        <v>52</v>
      </c>
      <c r="C14" s="5"/>
      <c r="D14" s="5">
        <v>1.1200000000000001</v>
      </c>
      <c r="E14" s="5"/>
      <c r="F14" s="5">
        <v>4</v>
      </c>
      <c r="G14" s="5">
        <f>F14*D14</f>
        <v>4.4800000000000004</v>
      </c>
    </row>
    <row r="15" spans="1:7" ht="15.75" customHeight="1">
      <c r="A15" s="5" t="s">
        <v>53</v>
      </c>
      <c r="B15" s="5" t="s">
        <v>67</v>
      </c>
      <c r="C15" s="5"/>
      <c r="D15" s="5">
        <v>1.59</v>
      </c>
      <c r="E15" s="5" t="s">
        <v>55</v>
      </c>
      <c r="F15" s="5">
        <v>6</v>
      </c>
      <c r="G15" s="5">
        <f>F15*D15</f>
        <v>9.5400000000000009</v>
      </c>
    </row>
    <row r="16" spans="1:7" ht="15.75" customHeight="1">
      <c r="A16" s="3" t="s">
        <v>31</v>
      </c>
      <c r="B16" s="3" t="s">
        <v>60</v>
      </c>
      <c r="C16" s="3"/>
      <c r="D16" s="3">
        <v>4</v>
      </c>
      <c r="E16" s="3" t="s">
        <v>33</v>
      </c>
      <c r="F16" s="3">
        <v>1.61</v>
      </c>
      <c r="G16" s="5">
        <f>F16*D16</f>
        <v>6.44</v>
      </c>
    </row>
    <row r="17" spans="1:7" ht="15.75" customHeight="1">
      <c r="A17" s="5" t="s">
        <v>31</v>
      </c>
      <c r="B17" s="5" t="s">
        <v>46</v>
      </c>
      <c r="C17" s="5"/>
      <c r="D17" s="5">
        <v>0.55000000000000004</v>
      </c>
      <c r="E17" s="5" t="s">
        <v>33</v>
      </c>
      <c r="F17" s="5">
        <v>3</v>
      </c>
      <c r="G17" s="5">
        <f>D17*F17</f>
        <v>1.6500000000000001</v>
      </c>
    </row>
    <row r="18" spans="1:7" ht="15.75" customHeight="1">
      <c r="A18" s="3" t="s">
        <v>31</v>
      </c>
      <c r="B18" s="3" t="s">
        <v>51</v>
      </c>
      <c r="C18" s="3"/>
      <c r="D18" s="3">
        <v>0.67</v>
      </c>
      <c r="E18" s="5" t="s">
        <v>33</v>
      </c>
      <c r="F18" s="3">
        <v>4</v>
      </c>
      <c r="G18" s="5">
        <f>D18*F18</f>
        <v>2.68</v>
      </c>
    </row>
    <row r="19" spans="1:7" ht="15.75" customHeight="1">
      <c r="A19" s="11" t="s">
        <v>31</v>
      </c>
      <c r="B19" s="10" t="s">
        <v>48</v>
      </c>
      <c r="C19" s="12"/>
      <c r="D19" s="3">
        <v>0.67</v>
      </c>
      <c r="E19" s="5" t="s">
        <v>33</v>
      </c>
      <c r="F19" s="3">
        <v>4</v>
      </c>
      <c r="G19" s="5">
        <f>D19*F19</f>
        <v>2.68</v>
      </c>
    </row>
    <row r="20" spans="1:7" ht="15.75" customHeight="1">
      <c r="A20" s="117" t="s">
        <v>37</v>
      </c>
      <c r="B20" s="117"/>
      <c r="C20" s="117"/>
      <c r="D20" s="117"/>
      <c r="E20" s="117"/>
      <c r="F20" s="117"/>
      <c r="G20" s="14">
        <f>SUM(G2:G19)</f>
        <v>79.687500000000014</v>
      </c>
    </row>
  </sheetData>
  <mergeCells count="1">
    <mergeCell ref="A20:F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C4632-E609-484B-9EF5-CEAE8974FAA4}">
  <dimension ref="A1:G16"/>
  <sheetViews>
    <sheetView workbookViewId="0"/>
  </sheetViews>
  <sheetFormatPr defaultRowHeight="13.5"/>
  <cols>
    <col min="1" max="1" width="9.125" bestFit="1" customWidth="1"/>
    <col min="2" max="2" width="15" bestFit="1" customWidth="1"/>
    <col min="3" max="3" width="11.375" bestFit="1" customWidth="1"/>
    <col min="4" max="4" width="13.75" bestFit="1" customWidth="1"/>
    <col min="5" max="5" width="4.625" bestFit="1" customWidth="1"/>
    <col min="6" max="6" width="8.75" bestFit="1" customWidth="1"/>
    <col min="7" max="7" width="8.125" bestFit="1" customWidth="1"/>
  </cols>
  <sheetData>
    <row r="1" spans="1:7" ht="1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>
      <c r="A2" s="5" t="s">
        <v>24</v>
      </c>
      <c r="B2" s="5"/>
      <c r="C2" s="5"/>
      <c r="D2" s="5"/>
      <c r="E2" s="5"/>
      <c r="F2" s="5"/>
      <c r="G2" s="5">
        <f>D2*F2</f>
        <v>0</v>
      </c>
    </row>
    <row r="3" spans="1:7">
      <c r="A3" s="3" t="s">
        <v>24</v>
      </c>
      <c r="B3" s="3"/>
      <c r="C3" s="3"/>
      <c r="D3" s="3"/>
      <c r="E3" s="3"/>
      <c r="F3" s="3"/>
      <c r="G3" s="5">
        <f>D3*F3</f>
        <v>0</v>
      </c>
    </row>
    <row r="4" spans="1:7">
      <c r="A4" s="5" t="s">
        <v>24</v>
      </c>
      <c r="B4" s="5"/>
      <c r="C4" s="5"/>
      <c r="D4" s="5"/>
      <c r="E4" s="5"/>
      <c r="F4" s="5"/>
      <c r="G4" s="5">
        <f>D4*F4</f>
        <v>0</v>
      </c>
    </row>
    <row r="5" spans="1:7">
      <c r="A5" s="3" t="s">
        <v>24</v>
      </c>
      <c r="B5" s="3"/>
      <c r="C5" s="3"/>
      <c r="D5" s="3"/>
      <c r="E5" s="3"/>
      <c r="F5" s="3"/>
      <c r="G5" s="5">
        <f>D5*F5</f>
        <v>0</v>
      </c>
    </row>
    <row r="6" spans="1:7">
      <c r="A6" s="3" t="s">
        <v>24</v>
      </c>
      <c r="B6" s="3"/>
      <c r="C6" s="3"/>
      <c r="D6" s="3"/>
      <c r="E6" s="3"/>
      <c r="F6" s="3"/>
      <c r="G6" s="5">
        <f>F6*D6</f>
        <v>0</v>
      </c>
    </row>
    <row r="7" spans="1:7">
      <c r="A7" s="5" t="s">
        <v>24</v>
      </c>
      <c r="B7" s="5"/>
      <c r="C7" s="5"/>
      <c r="D7" s="5"/>
      <c r="E7" s="5"/>
      <c r="F7" s="5"/>
      <c r="G7" s="5">
        <f>D7*F7</f>
        <v>0</v>
      </c>
    </row>
    <row r="8" spans="1:7">
      <c r="A8" s="5" t="s">
        <v>24</v>
      </c>
      <c r="B8" s="5"/>
      <c r="C8" s="5"/>
      <c r="D8" s="5"/>
      <c r="E8" s="5"/>
      <c r="F8" s="5"/>
      <c r="G8" s="5">
        <f>F8*D8</f>
        <v>0</v>
      </c>
    </row>
    <row r="9" spans="1:7">
      <c r="A9" s="3" t="s">
        <v>24</v>
      </c>
      <c r="B9" s="3"/>
      <c r="C9" s="3"/>
      <c r="D9" s="3"/>
      <c r="E9" s="3"/>
      <c r="F9" s="3"/>
      <c r="G9" s="5">
        <f>D9*F9</f>
        <v>0</v>
      </c>
    </row>
    <row r="10" spans="1:7">
      <c r="A10" s="5" t="s">
        <v>31</v>
      </c>
      <c r="B10" s="5" t="s">
        <v>46</v>
      </c>
      <c r="C10" s="5"/>
      <c r="D10" s="5">
        <v>0.55000000000000004</v>
      </c>
      <c r="E10" s="5" t="s">
        <v>33</v>
      </c>
      <c r="F10" s="5">
        <v>3</v>
      </c>
      <c r="G10" s="5">
        <f>D10*F10</f>
        <v>1.6500000000000001</v>
      </c>
    </row>
    <row r="11" spans="1:7">
      <c r="A11" s="3" t="s">
        <v>31</v>
      </c>
      <c r="B11" s="3" t="s">
        <v>51</v>
      </c>
      <c r="C11" s="3"/>
      <c r="D11" s="3">
        <v>0.67</v>
      </c>
      <c r="E11" s="5" t="s">
        <v>33</v>
      </c>
      <c r="F11" s="3">
        <v>4</v>
      </c>
      <c r="G11" s="5">
        <f>D11*F11</f>
        <v>2.68</v>
      </c>
    </row>
    <row r="12" spans="1:7">
      <c r="A12" s="3" t="s">
        <v>31</v>
      </c>
      <c r="B12" s="9" t="s">
        <v>52</v>
      </c>
      <c r="C12" s="3"/>
      <c r="D12" s="3">
        <v>0.79</v>
      </c>
      <c r="E12" s="5" t="s">
        <v>33</v>
      </c>
      <c r="F12" s="3">
        <v>6</v>
      </c>
      <c r="G12" s="5">
        <f>F12*D12</f>
        <v>4.74</v>
      </c>
    </row>
    <row r="13" spans="1:7">
      <c r="A13" s="11" t="s">
        <v>31</v>
      </c>
      <c r="B13" s="10" t="s">
        <v>68</v>
      </c>
      <c r="C13" s="12"/>
      <c r="D13" s="3">
        <v>0.67</v>
      </c>
      <c r="E13" s="5" t="s">
        <v>33</v>
      </c>
      <c r="F13" s="3">
        <v>4</v>
      </c>
      <c r="G13" s="5">
        <f>D13*F13</f>
        <v>2.68</v>
      </c>
    </row>
    <row r="14" spans="1:7">
      <c r="A14" s="3" t="s">
        <v>31</v>
      </c>
      <c r="B14" s="13" t="s">
        <v>49</v>
      </c>
      <c r="C14" s="3"/>
      <c r="D14" s="3">
        <v>0.55000000000000004</v>
      </c>
      <c r="E14" s="5" t="s">
        <v>33</v>
      </c>
      <c r="F14" s="3">
        <v>5</v>
      </c>
      <c r="G14" s="3">
        <f>D14*F14</f>
        <v>2.75</v>
      </c>
    </row>
    <row r="15" spans="1:7">
      <c r="A15" s="5" t="s">
        <v>53</v>
      </c>
      <c r="B15" s="5" t="s">
        <v>54</v>
      </c>
      <c r="C15" s="3"/>
      <c r="D15" s="3">
        <v>1.89</v>
      </c>
      <c r="E15" s="5" t="s">
        <v>55</v>
      </c>
      <c r="F15" s="3">
        <v>6</v>
      </c>
      <c r="G15" s="3">
        <f>F15*D15</f>
        <v>11.34</v>
      </c>
    </row>
    <row r="16" spans="1:7">
      <c r="A16" s="117" t="s">
        <v>37</v>
      </c>
      <c r="B16" s="117"/>
      <c r="C16" s="117"/>
      <c r="D16" s="117"/>
      <c r="E16" s="117"/>
      <c r="F16" s="117"/>
      <c r="G16" s="14">
        <f>SUM(G2:G15)</f>
        <v>25.84</v>
      </c>
    </row>
  </sheetData>
  <mergeCells count="1">
    <mergeCell ref="A16:F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CE57C-A8AD-429F-8A8D-9BA4EEAD8B09}">
  <dimension ref="A1:G16"/>
  <sheetViews>
    <sheetView workbookViewId="0"/>
  </sheetViews>
  <sheetFormatPr defaultColWidth="21.375" defaultRowHeight="21" customHeight="1"/>
  <cols>
    <col min="1" max="1" width="16.25" customWidth="1"/>
    <col min="2" max="2" width="32.125" customWidth="1"/>
    <col min="3" max="3" width="18.125" customWidth="1"/>
    <col min="4" max="4" width="11.25" customWidth="1"/>
    <col min="5" max="5" width="8.5" customWidth="1"/>
    <col min="6" max="6" width="7.625" customWidth="1"/>
  </cols>
  <sheetData>
    <row r="1" spans="1:7" ht="21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ht="21" customHeight="1">
      <c r="A2" s="5" t="s">
        <v>24</v>
      </c>
      <c r="B2" s="5" t="s">
        <v>42</v>
      </c>
      <c r="C2" s="5"/>
      <c r="D2" s="5">
        <v>1.64</v>
      </c>
      <c r="E2" s="5" t="s">
        <v>16</v>
      </c>
      <c r="F2" s="5">
        <v>3</v>
      </c>
      <c r="G2" s="5">
        <f>D2*F2</f>
        <v>4.92</v>
      </c>
    </row>
    <row r="3" spans="1:7" ht="21" customHeight="1">
      <c r="A3" s="3" t="s">
        <v>24</v>
      </c>
      <c r="B3" s="3" t="s">
        <v>38</v>
      </c>
      <c r="C3" s="3"/>
      <c r="D3" s="3">
        <v>2.19</v>
      </c>
      <c r="E3" s="3" t="s">
        <v>16</v>
      </c>
      <c r="F3" s="3">
        <v>6</v>
      </c>
      <c r="G3" s="5">
        <f>D3*F3</f>
        <v>13.14</v>
      </c>
    </row>
    <row r="4" spans="1:7" ht="21" customHeight="1">
      <c r="A4" s="5" t="s">
        <v>24</v>
      </c>
      <c r="B4" s="5" t="s">
        <v>59</v>
      </c>
      <c r="C4" s="5" t="s">
        <v>69</v>
      </c>
      <c r="D4" s="5">
        <v>2.19</v>
      </c>
      <c r="E4" s="5" t="s">
        <v>41</v>
      </c>
      <c r="F4" s="5">
        <v>2</v>
      </c>
      <c r="G4" s="5">
        <f>D4*F4</f>
        <v>4.38</v>
      </c>
    </row>
    <row r="5" spans="1:7" ht="21" customHeight="1">
      <c r="A5" s="3" t="s">
        <v>24</v>
      </c>
      <c r="B5" s="3" t="s">
        <v>70</v>
      </c>
      <c r="C5" s="3" t="s">
        <v>69</v>
      </c>
      <c r="D5" s="3">
        <v>2.08</v>
      </c>
      <c r="E5" s="3" t="s">
        <v>41</v>
      </c>
      <c r="F5" s="3">
        <v>2</v>
      </c>
      <c r="G5" s="5">
        <f>D5*F5</f>
        <v>4.16</v>
      </c>
    </row>
    <row r="6" spans="1:7" ht="21" customHeight="1">
      <c r="A6" s="3" t="s">
        <v>24</v>
      </c>
      <c r="B6" s="3" t="s">
        <v>39</v>
      </c>
      <c r="C6" s="3" t="s">
        <v>69</v>
      </c>
      <c r="D6" s="3">
        <v>2.52</v>
      </c>
      <c r="E6" s="3" t="s">
        <v>41</v>
      </c>
      <c r="F6" s="3">
        <v>4</v>
      </c>
      <c r="G6" s="5">
        <f>F6*D6</f>
        <v>10.08</v>
      </c>
    </row>
    <row r="7" spans="1:7" ht="21" customHeight="1">
      <c r="A7" s="5" t="s">
        <v>24</v>
      </c>
      <c r="B7" s="5" t="s">
        <v>50</v>
      </c>
      <c r="C7" s="5" t="s">
        <v>71</v>
      </c>
      <c r="D7" s="5">
        <v>8.7899999999999991</v>
      </c>
      <c r="E7" s="5" t="s">
        <v>72</v>
      </c>
      <c r="F7" s="5">
        <v>1</v>
      </c>
      <c r="G7" s="5">
        <f>D7*F7</f>
        <v>8.7899999999999991</v>
      </c>
    </row>
    <row r="8" spans="1:7" ht="21" customHeight="1">
      <c r="A8" s="5" t="s">
        <v>24</v>
      </c>
      <c r="B8" s="5" t="s">
        <v>73</v>
      </c>
      <c r="C8" s="5" t="s">
        <v>74</v>
      </c>
      <c r="D8" s="5">
        <v>5.05</v>
      </c>
      <c r="E8" s="5" t="s">
        <v>72</v>
      </c>
      <c r="F8" s="5">
        <v>1</v>
      </c>
      <c r="G8" s="5">
        <f>F8*D8</f>
        <v>5.05</v>
      </c>
    </row>
    <row r="9" spans="1:7" ht="21" customHeight="1">
      <c r="A9" s="5" t="s">
        <v>31</v>
      </c>
      <c r="B9" s="5" t="s">
        <v>46</v>
      </c>
      <c r="C9" s="5"/>
      <c r="D9" s="5">
        <v>0.55000000000000004</v>
      </c>
      <c r="E9" s="5" t="s">
        <v>33</v>
      </c>
      <c r="F9" s="5">
        <v>3</v>
      </c>
      <c r="G9" s="5">
        <f>D9*F9</f>
        <v>1.6500000000000001</v>
      </c>
    </row>
    <row r="10" spans="1:7" ht="21" customHeight="1">
      <c r="A10" s="3" t="s">
        <v>31</v>
      </c>
      <c r="B10" s="3" t="s">
        <v>51</v>
      </c>
      <c r="C10" s="3"/>
      <c r="D10" s="3">
        <v>0.67</v>
      </c>
      <c r="E10" s="5" t="s">
        <v>33</v>
      </c>
      <c r="F10" s="3">
        <v>4</v>
      </c>
      <c r="G10" s="5">
        <f>D10*F10</f>
        <v>2.68</v>
      </c>
    </row>
    <row r="11" spans="1:7" ht="21" customHeight="1">
      <c r="A11" s="3" t="s">
        <v>31</v>
      </c>
      <c r="B11" s="9" t="s">
        <v>52</v>
      </c>
      <c r="C11" s="3"/>
      <c r="D11" s="3">
        <v>0.79</v>
      </c>
      <c r="E11" s="5" t="s">
        <v>33</v>
      </c>
      <c r="F11" s="3">
        <v>4</v>
      </c>
      <c r="G11" s="5">
        <f>F11*D11</f>
        <v>3.16</v>
      </c>
    </row>
    <row r="12" spans="1:7" ht="21" customHeight="1">
      <c r="A12" s="11" t="s">
        <v>31</v>
      </c>
      <c r="B12" s="10" t="s">
        <v>68</v>
      </c>
      <c r="C12" s="12"/>
      <c r="D12" s="3">
        <v>0.67</v>
      </c>
      <c r="E12" s="5" t="s">
        <v>33</v>
      </c>
      <c r="F12" s="3">
        <v>4</v>
      </c>
      <c r="G12" s="5">
        <f>D12*F12</f>
        <v>2.68</v>
      </c>
    </row>
    <row r="13" spans="1:7" ht="21" customHeight="1">
      <c r="A13" s="11" t="s">
        <v>31</v>
      </c>
      <c r="B13" s="15" t="s">
        <v>75</v>
      </c>
      <c r="C13" s="12"/>
      <c r="D13" s="3">
        <v>0.79</v>
      </c>
      <c r="E13" s="5" t="s">
        <v>33</v>
      </c>
      <c r="F13" s="3">
        <v>4</v>
      </c>
      <c r="G13" s="5">
        <f>F13*D13</f>
        <v>3.16</v>
      </c>
    </row>
    <row r="14" spans="1:7" ht="21" customHeight="1">
      <c r="A14" s="3" t="s">
        <v>31</v>
      </c>
      <c r="B14" s="13" t="s">
        <v>48</v>
      </c>
      <c r="C14" s="3"/>
      <c r="D14" s="3">
        <v>0.57999999999999996</v>
      </c>
      <c r="E14" s="5" t="s">
        <v>33</v>
      </c>
      <c r="F14" s="3">
        <v>4</v>
      </c>
      <c r="G14" s="3">
        <f>D14*F14</f>
        <v>2.3199999999999998</v>
      </c>
    </row>
    <row r="15" spans="1:7" ht="21" customHeight="1">
      <c r="A15" s="5" t="s">
        <v>53</v>
      </c>
      <c r="B15" s="5" t="s">
        <v>76</v>
      </c>
      <c r="C15" s="3"/>
      <c r="D15" s="3"/>
      <c r="E15" s="5"/>
      <c r="F15" s="3"/>
      <c r="G15" s="3">
        <f>F15*D15</f>
        <v>0</v>
      </c>
    </row>
    <row r="16" spans="1:7" ht="21" customHeight="1">
      <c r="A16" s="117" t="s">
        <v>37</v>
      </c>
      <c r="B16" s="117"/>
      <c r="C16" s="117"/>
      <c r="D16" s="117"/>
      <c r="E16" s="117"/>
      <c r="F16" s="117"/>
      <c r="G16" s="14">
        <f>SUM(G2:G15)</f>
        <v>66.169999999999987</v>
      </c>
    </row>
  </sheetData>
  <mergeCells count="1">
    <mergeCell ref="A16:F1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0D495-806F-450C-9FDD-4828C15E226F}">
  <dimension ref="A1:G18"/>
  <sheetViews>
    <sheetView workbookViewId="0">
      <selection activeCell="D10" sqref="D10"/>
    </sheetView>
  </sheetViews>
  <sheetFormatPr defaultRowHeight="18" customHeight="1"/>
  <cols>
    <col min="1" max="1" width="9.125" bestFit="1" customWidth="1"/>
    <col min="2" max="2" width="23" customWidth="1"/>
    <col min="3" max="3" width="11.375" bestFit="1" customWidth="1"/>
    <col min="4" max="4" width="13.75" bestFit="1" customWidth="1"/>
    <col min="5" max="5" width="4.625" bestFit="1" customWidth="1"/>
    <col min="6" max="6" width="8.75" bestFit="1" customWidth="1"/>
    <col min="7" max="7" width="10.625" customWidth="1"/>
  </cols>
  <sheetData>
    <row r="1" spans="1:7" ht="18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ht="18" customHeight="1">
      <c r="A2" s="5" t="s">
        <v>24</v>
      </c>
      <c r="B2" s="5" t="s">
        <v>42</v>
      </c>
      <c r="C2" s="5"/>
      <c r="D2" s="5">
        <v>1.64</v>
      </c>
      <c r="E2" s="5" t="s">
        <v>16</v>
      </c>
      <c r="F2" s="5">
        <v>5</v>
      </c>
      <c r="G2" s="5">
        <f>D2*F2</f>
        <v>8.1999999999999993</v>
      </c>
    </row>
    <row r="3" spans="1:7" ht="18" customHeight="1">
      <c r="A3" s="3" t="s">
        <v>24</v>
      </c>
      <c r="B3" s="3" t="s">
        <v>38</v>
      </c>
      <c r="C3" s="3"/>
      <c r="D3" s="3">
        <v>2.19</v>
      </c>
      <c r="E3" s="3" t="s">
        <v>16</v>
      </c>
      <c r="F3" s="3">
        <v>3</v>
      </c>
      <c r="G3" s="5">
        <f>D3*F3</f>
        <v>6.57</v>
      </c>
    </row>
    <row r="4" spans="1:7" ht="18" customHeight="1">
      <c r="A4" s="5" t="s">
        <v>24</v>
      </c>
      <c r="B4" s="5" t="s">
        <v>77</v>
      </c>
      <c r="C4" s="5"/>
      <c r="D4" s="5">
        <v>2.06</v>
      </c>
      <c r="E4" s="5" t="s">
        <v>16</v>
      </c>
      <c r="F4" s="5">
        <v>2</v>
      </c>
      <c r="G4" s="5">
        <f>D4*F4</f>
        <v>4.12</v>
      </c>
    </row>
    <row r="5" spans="1:7" ht="18" customHeight="1">
      <c r="A5" s="3" t="s">
        <v>24</v>
      </c>
      <c r="B5" s="3" t="s">
        <v>78</v>
      </c>
      <c r="C5" s="3" t="s">
        <v>79</v>
      </c>
      <c r="D5" s="3">
        <v>1.86</v>
      </c>
      <c r="E5" s="3" t="s">
        <v>41</v>
      </c>
      <c r="F5" s="3">
        <v>1</v>
      </c>
      <c r="G5" s="5">
        <f>D5*F5</f>
        <v>1.86</v>
      </c>
    </row>
    <row r="6" spans="1:7" ht="18" customHeight="1">
      <c r="A6" s="3" t="s">
        <v>24</v>
      </c>
      <c r="B6" s="3" t="s">
        <v>39</v>
      </c>
      <c r="C6" s="3" t="s">
        <v>69</v>
      </c>
      <c r="D6" s="3">
        <v>2.52</v>
      </c>
      <c r="E6" s="3" t="s">
        <v>41</v>
      </c>
      <c r="F6" s="3">
        <v>4</v>
      </c>
      <c r="G6" s="5">
        <f>F6*D6</f>
        <v>10.08</v>
      </c>
    </row>
    <row r="7" spans="1:7" ht="18" customHeight="1">
      <c r="A7" s="5" t="s">
        <v>24</v>
      </c>
      <c r="B7" s="5" t="s">
        <v>50</v>
      </c>
      <c r="C7" s="5"/>
      <c r="D7" s="5">
        <v>1.79</v>
      </c>
      <c r="E7" s="5" t="s">
        <v>16</v>
      </c>
      <c r="F7" s="5">
        <v>3</v>
      </c>
      <c r="G7" s="5">
        <f>D7*F7</f>
        <v>5.37</v>
      </c>
    </row>
    <row r="8" spans="1:7" ht="18" customHeight="1">
      <c r="A8" s="5" t="s">
        <v>24</v>
      </c>
      <c r="B8" s="5" t="s">
        <v>73</v>
      </c>
      <c r="C8" s="5" t="s">
        <v>74</v>
      </c>
      <c r="D8" s="5">
        <v>5.05</v>
      </c>
      <c r="E8" s="5" t="s">
        <v>72</v>
      </c>
      <c r="F8" s="5">
        <v>1</v>
      </c>
      <c r="G8" s="5">
        <f>F8*D8</f>
        <v>5.05</v>
      </c>
    </row>
    <row r="9" spans="1:7" ht="18" customHeight="1">
      <c r="A9" s="5" t="s">
        <v>24</v>
      </c>
      <c r="B9" s="5" t="s">
        <v>80</v>
      </c>
      <c r="C9" s="5"/>
      <c r="D9" s="5">
        <v>7.74</v>
      </c>
      <c r="E9" s="5" t="s">
        <v>16</v>
      </c>
      <c r="F9" s="5">
        <v>0.75</v>
      </c>
      <c r="G9" s="5">
        <f>F9*D9</f>
        <v>5.8049999999999997</v>
      </c>
    </row>
    <row r="10" spans="1:7" ht="18" customHeight="1">
      <c r="A10" s="5" t="s">
        <v>24</v>
      </c>
      <c r="B10" s="5" t="s">
        <v>81</v>
      </c>
      <c r="C10" s="5"/>
      <c r="D10" s="5">
        <v>2.64</v>
      </c>
      <c r="E10" s="5" t="s">
        <v>16</v>
      </c>
      <c r="F10" s="5">
        <v>0.75</v>
      </c>
      <c r="G10" s="5">
        <f>F10*D10</f>
        <v>1.98</v>
      </c>
    </row>
    <row r="11" spans="1:7" ht="18" customHeight="1">
      <c r="A11" s="5" t="s">
        <v>24</v>
      </c>
      <c r="B11" s="5" t="s">
        <v>82</v>
      </c>
      <c r="C11" s="5"/>
      <c r="D11" s="5">
        <v>1.47</v>
      </c>
      <c r="E11" s="5" t="s">
        <v>16</v>
      </c>
      <c r="F11" s="5">
        <v>0.75</v>
      </c>
      <c r="G11" s="5">
        <f>F11*D11</f>
        <v>1.1025</v>
      </c>
    </row>
    <row r="12" spans="1:7" ht="18" customHeight="1">
      <c r="A12" s="3" t="s">
        <v>31</v>
      </c>
      <c r="B12" s="3" t="s">
        <v>51</v>
      </c>
      <c r="C12" s="3"/>
      <c r="D12" s="3">
        <v>0.67</v>
      </c>
      <c r="E12" s="5" t="s">
        <v>33</v>
      </c>
      <c r="F12" s="3">
        <v>4</v>
      </c>
      <c r="G12" s="5">
        <f>D12*F12</f>
        <v>2.68</v>
      </c>
    </row>
    <row r="13" spans="1:7" ht="18" customHeight="1">
      <c r="A13" s="3" t="s">
        <v>31</v>
      </c>
      <c r="B13" s="9" t="s">
        <v>52</v>
      </c>
      <c r="C13" s="3"/>
      <c r="D13" s="3">
        <v>0.79</v>
      </c>
      <c r="E13" s="5" t="s">
        <v>33</v>
      </c>
      <c r="F13" s="3">
        <v>4</v>
      </c>
      <c r="G13" s="5">
        <f>F13*D13</f>
        <v>3.16</v>
      </c>
    </row>
    <row r="14" spans="1:7" ht="18" customHeight="1">
      <c r="A14" s="11" t="s">
        <v>31</v>
      </c>
      <c r="B14" s="10"/>
      <c r="C14" s="12"/>
      <c r="D14" s="3"/>
      <c r="E14" s="5"/>
      <c r="F14" s="3"/>
      <c r="G14" s="5">
        <f>D14*F14</f>
        <v>0</v>
      </c>
    </row>
    <row r="15" spans="1:7" ht="18" customHeight="1">
      <c r="A15" s="11" t="s">
        <v>31</v>
      </c>
      <c r="B15" s="15" t="s">
        <v>75</v>
      </c>
      <c r="C15" s="12"/>
      <c r="D15" s="3">
        <v>0.79</v>
      </c>
      <c r="E15" s="5" t="s">
        <v>33</v>
      </c>
      <c r="F15" s="3">
        <v>6</v>
      </c>
      <c r="G15" s="5">
        <f>F15*D15</f>
        <v>4.74</v>
      </c>
    </row>
    <row r="16" spans="1:7" ht="18" customHeight="1">
      <c r="A16" s="3" t="s">
        <v>31</v>
      </c>
      <c r="B16" s="13" t="s">
        <v>48</v>
      </c>
      <c r="C16" s="3"/>
      <c r="D16" s="3">
        <v>0.57999999999999996</v>
      </c>
      <c r="E16" s="5" t="s">
        <v>33</v>
      </c>
      <c r="F16" s="3">
        <v>4</v>
      </c>
      <c r="G16" s="3">
        <f>D16*F16</f>
        <v>2.3199999999999998</v>
      </c>
    </row>
    <row r="17" spans="1:7" ht="18" customHeight="1">
      <c r="A17" s="5" t="s">
        <v>53</v>
      </c>
      <c r="B17" s="5" t="s">
        <v>13</v>
      </c>
      <c r="C17" s="3"/>
      <c r="D17" s="3">
        <v>1.59</v>
      </c>
      <c r="E17" s="5" t="s">
        <v>55</v>
      </c>
      <c r="F17" s="3">
        <v>12</v>
      </c>
      <c r="G17" s="3">
        <f>F17*D17</f>
        <v>19.080000000000002</v>
      </c>
    </row>
    <row r="18" spans="1:7" ht="18" customHeight="1">
      <c r="A18" s="117" t="s">
        <v>37</v>
      </c>
      <c r="B18" s="117"/>
      <c r="C18" s="117"/>
      <c r="D18" s="117"/>
      <c r="E18" s="117"/>
      <c r="F18" s="117"/>
      <c r="G18" s="14">
        <f>SUM(G2:G17)</f>
        <v>82.117499999999993</v>
      </c>
    </row>
  </sheetData>
  <mergeCells count="1">
    <mergeCell ref="A18:F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A6C34-47B7-46D4-BB36-B7D9D478AC6E}">
  <dimension ref="A1:G13"/>
  <sheetViews>
    <sheetView workbookViewId="0">
      <selection activeCell="B4" sqref="B4"/>
    </sheetView>
  </sheetViews>
  <sheetFormatPr defaultRowHeight="13.5"/>
  <cols>
    <col min="1" max="7" width="15.875" customWidth="1"/>
  </cols>
  <sheetData>
    <row r="1" spans="1:7" ht="15">
      <c r="A1" s="16" t="s">
        <v>1</v>
      </c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</row>
    <row r="2" spans="1:7">
      <c r="A2" s="20" t="s">
        <v>24</v>
      </c>
      <c r="B2" s="20" t="s">
        <v>42</v>
      </c>
      <c r="C2" s="20"/>
      <c r="D2" s="21">
        <v>1.64</v>
      </c>
      <c r="E2" s="20" t="s">
        <v>16</v>
      </c>
      <c r="F2" s="20">
        <v>5</v>
      </c>
      <c r="G2" s="21">
        <f>D2*F2</f>
        <v>8.1999999999999993</v>
      </c>
    </row>
    <row r="3" spans="1:7">
      <c r="A3" s="22" t="s">
        <v>24</v>
      </c>
      <c r="B3" s="22" t="s">
        <v>38</v>
      </c>
      <c r="C3" s="22"/>
      <c r="D3" s="23">
        <v>2.19</v>
      </c>
      <c r="E3" s="22" t="s">
        <v>16</v>
      </c>
      <c r="F3" s="22">
        <v>3</v>
      </c>
      <c r="G3" s="23">
        <f>D3*F3</f>
        <v>6.57</v>
      </c>
    </row>
    <row r="4" spans="1:7">
      <c r="A4" s="20" t="s">
        <v>24</v>
      </c>
      <c r="B4" s="20" t="s">
        <v>77</v>
      </c>
      <c r="C4" s="20"/>
      <c r="D4" s="21">
        <v>2.06</v>
      </c>
      <c r="E4" s="20" t="s">
        <v>16</v>
      </c>
      <c r="F4" s="20">
        <v>2</v>
      </c>
      <c r="G4" s="21">
        <f>D4*F4</f>
        <v>4.12</v>
      </c>
    </row>
    <row r="5" spans="1:7">
      <c r="A5" s="22" t="s">
        <v>24</v>
      </c>
      <c r="B5" s="22" t="s">
        <v>39</v>
      </c>
      <c r="C5" s="22" t="s">
        <v>69</v>
      </c>
      <c r="D5" s="23">
        <v>2.52</v>
      </c>
      <c r="E5" s="22" t="s">
        <v>16</v>
      </c>
      <c r="F5" s="22">
        <v>4</v>
      </c>
      <c r="G5" s="23">
        <f>D5*F5</f>
        <v>10.08</v>
      </c>
    </row>
    <row r="6" spans="1:7">
      <c r="A6" s="20" t="s">
        <v>24</v>
      </c>
      <c r="B6" s="20" t="s">
        <v>50</v>
      </c>
      <c r="C6" s="20"/>
      <c r="D6" s="21">
        <v>1.79</v>
      </c>
      <c r="E6" s="20" t="s">
        <v>16</v>
      </c>
      <c r="F6" s="20">
        <v>3</v>
      </c>
      <c r="G6" s="21">
        <f>D6*F6</f>
        <v>5.37</v>
      </c>
    </row>
    <row r="7" spans="1:7">
      <c r="A7" s="22" t="s">
        <v>24</v>
      </c>
      <c r="B7" s="22" t="s">
        <v>78</v>
      </c>
      <c r="C7" s="22" t="s">
        <v>79</v>
      </c>
      <c r="D7" s="23">
        <v>1.86</v>
      </c>
      <c r="E7" s="22" t="s">
        <v>41</v>
      </c>
      <c r="F7" s="22">
        <v>1</v>
      </c>
      <c r="G7" s="23">
        <f>D7*F7</f>
        <v>1.86</v>
      </c>
    </row>
    <row r="8" spans="1:7">
      <c r="A8" s="20" t="s">
        <v>31</v>
      </c>
      <c r="B8" s="20" t="s">
        <v>49</v>
      </c>
      <c r="C8" s="20"/>
      <c r="D8" s="21">
        <v>0.67</v>
      </c>
      <c r="E8" s="20" t="s">
        <v>33</v>
      </c>
      <c r="F8" s="20">
        <v>5</v>
      </c>
      <c r="G8" s="21">
        <f>D8*F8</f>
        <v>3.35</v>
      </c>
    </row>
    <row r="9" spans="1:7">
      <c r="A9" s="22" t="s">
        <v>31</v>
      </c>
      <c r="B9" s="22" t="s">
        <v>68</v>
      </c>
      <c r="C9" s="22"/>
      <c r="D9" s="23">
        <v>0.67</v>
      </c>
      <c r="E9" s="22" t="s">
        <v>33</v>
      </c>
      <c r="F9" s="22">
        <v>5</v>
      </c>
      <c r="G9" s="23">
        <f>D9*F9</f>
        <v>3.35</v>
      </c>
    </row>
    <row r="10" spans="1:7">
      <c r="A10" s="20" t="s">
        <v>31</v>
      </c>
      <c r="B10" s="20" t="s">
        <v>83</v>
      </c>
      <c r="C10" s="20"/>
      <c r="D10" s="21">
        <v>0.79</v>
      </c>
      <c r="E10" s="20" t="s">
        <v>33</v>
      </c>
      <c r="F10" s="20">
        <v>4</v>
      </c>
      <c r="G10" s="21">
        <f>D10*F10</f>
        <v>3.16</v>
      </c>
    </row>
    <row r="11" spans="1:7">
      <c r="A11" s="22" t="s">
        <v>31</v>
      </c>
      <c r="B11" s="22" t="s">
        <v>84</v>
      </c>
      <c r="C11" s="22"/>
      <c r="D11" s="23">
        <v>0.79</v>
      </c>
      <c r="E11" s="22" t="s">
        <v>33</v>
      </c>
      <c r="F11" s="22">
        <v>4</v>
      </c>
      <c r="G11" s="23">
        <f>D11*F11</f>
        <v>3.16</v>
      </c>
    </row>
    <row r="12" spans="1:7">
      <c r="A12" s="20" t="s">
        <v>31</v>
      </c>
      <c r="B12" s="20" t="s">
        <v>48</v>
      </c>
      <c r="C12" s="20"/>
      <c r="D12" s="21">
        <v>0.57999999999999996</v>
      </c>
      <c r="E12" s="20" t="s">
        <v>33</v>
      </c>
      <c r="F12" s="20">
        <v>0</v>
      </c>
      <c r="G12" s="21">
        <f>D12*F12</f>
        <v>0</v>
      </c>
    </row>
    <row r="13" spans="1:7" ht="14.25">
      <c r="A13" s="17" t="s">
        <v>37</v>
      </c>
      <c r="B13" s="19"/>
      <c r="C13" s="19"/>
      <c r="D13" s="19"/>
      <c r="E13" s="19"/>
      <c r="F13" s="19"/>
      <c r="G13" s="18">
        <f>SUM(G2:G12)</f>
        <v>49.22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FDBE9-A1AF-44CB-819A-9A964E34D29A}">
  <dimension ref="A1:G7"/>
  <sheetViews>
    <sheetView workbookViewId="0">
      <selection activeCell="L16" sqref="L16"/>
    </sheetView>
  </sheetViews>
  <sheetFormatPr defaultRowHeight="17.25" customHeight="1"/>
  <cols>
    <col min="1" max="1" width="14.625" customWidth="1"/>
    <col min="2" max="2" width="21" customWidth="1"/>
    <col min="3" max="3" width="23.5" customWidth="1"/>
    <col min="4" max="4" width="6.125" customWidth="1"/>
    <col min="5" max="5" width="6.375" customWidth="1"/>
  </cols>
  <sheetData>
    <row r="1" spans="1:7" ht="17.25" customHeight="1">
      <c r="A1" s="10" t="s">
        <v>85</v>
      </c>
      <c r="B1" s="10" t="s">
        <v>86</v>
      </c>
      <c r="C1" s="10" t="s">
        <v>87</v>
      </c>
      <c r="D1" s="10"/>
      <c r="E1" s="10" t="s">
        <v>88</v>
      </c>
      <c r="F1" s="10" t="s">
        <v>89</v>
      </c>
      <c r="G1" s="24" t="s">
        <v>7</v>
      </c>
    </row>
    <row r="2" spans="1:7" ht="17.25" customHeight="1">
      <c r="A2" s="25">
        <v>46142</v>
      </c>
      <c r="B2" s="26" t="s">
        <v>90</v>
      </c>
      <c r="C2" s="27" t="s">
        <v>91</v>
      </c>
      <c r="D2" s="26">
        <v>5</v>
      </c>
      <c r="E2" s="26" t="s">
        <v>33</v>
      </c>
      <c r="F2" s="28">
        <f>'29.04.26'!D8</f>
        <v>0.67</v>
      </c>
      <c r="G2" s="29">
        <f>D2*F2</f>
        <v>3.35</v>
      </c>
    </row>
    <row r="3" spans="1:7" ht="17.25" customHeight="1">
      <c r="A3" s="25">
        <v>46142</v>
      </c>
      <c r="B3" s="26" t="s">
        <v>90</v>
      </c>
      <c r="C3" s="27" t="s">
        <v>92</v>
      </c>
      <c r="D3" s="26">
        <v>4</v>
      </c>
      <c r="E3" s="26" t="s">
        <v>33</v>
      </c>
      <c r="F3" s="28">
        <f>'29.04.26'!D12</f>
        <v>0.57999999999999996</v>
      </c>
      <c r="G3" s="29">
        <f>D3*F3</f>
        <v>2.3199999999999998</v>
      </c>
    </row>
    <row r="4" spans="1:7" ht="17.25" customHeight="1">
      <c r="A4" s="25">
        <v>46142</v>
      </c>
      <c r="B4" s="26" t="s">
        <v>90</v>
      </c>
      <c r="C4" s="27" t="s">
        <v>93</v>
      </c>
      <c r="D4" s="26">
        <v>6</v>
      </c>
      <c r="E4" s="26" t="s">
        <v>33</v>
      </c>
      <c r="F4" s="28">
        <f>'29.04.26'!D10</f>
        <v>0.79</v>
      </c>
      <c r="G4" s="29">
        <f>D4*F4</f>
        <v>4.74</v>
      </c>
    </row>
    <row r="5" spans="1:7" ht="17.25" customHeight="1">
      <c r="A5" s="30">
        <v>30.04</v>
      </c>
      <c r="B5" s="30" t="s">
        <v>94</v>
      </c>
      <c r="C5" s="31" t="s">
        <v>95</v>
      </c>
      <c r="D5" s="30">
        <v>25</v>
      </c>
      <c r="E5" s="30" t="s">
        <v>33</v>
      </c>
      <c r="F5" s="32">
        <v>0.21</v>
      </c>
      <c r="G5" s="33">
        <f>D5*F5</f>
        <v>5.25</v>
      </c>
    </row>
    <row r="6" spans="1:7" ht="17.25" customHeight="1">
      <c r="A6" s="30">
        <v>30.04</v>
      </c>
      <c r="B6" s="30" t="s">
        <v>94</v>
      </c>
      <c r="C6" s="31" t="s">
        <v>96</v>
      </c>
      <c r="D6" s="30">
        <v>25</v>
      </c>
      <c r="E6" s="30" t="s">
        <v>33</v>
      </c>
      <c r="F6" s="32">
        <v>0.25</v>
      </c>
      <c r="G6" s="33">
        <f>D6*F6</f>
        <v>6.25</v>
      </c>
    </row>
    <row r="7" spans="1:7" ht="17.25" customHeight="1">
      <c r="A7" s="30"/>
      <c r="B7" s="30"/>
      <c r="C7" s="31"/>
      <c r="D7" s="30"/>
      <c r="E7" s="30"/>
      <c r="F7" s="34" t="s">
        <v>97</v>
      </c>
      <c r="G7" s="35">
        <f>SUM(G2:G6)</f>
        <v>21.91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9C05A-EEB0-4295-AE50-DC32AFDD30CF}">
  <dimension ref="A1:F22"/>
  <sheetViews>
    <sheetView workbookViewId="0">
      <selection activeCell="J9" sqref="J9"/>
    </sheetView>
  </sheetViews>
  <sheetFormatPr defaultRowHeight="13.5"/>
  <cols>
    <col min="1" max="1" width="18.5" customWidth="1"/>
    <col min="2" max="2" width="20.5" customWidth="1"/>
    <col min="3" max="3" width="9.25" customWidth="1"/>
    <col min="4" max="4" width="9.125" customWidth="1"/>
    <col min="5" max="5" width="17.875" customWidth="1"/>
    <col min="6" max="6" width="12.875" customWidth="1"/>
  </cols>
  <sheetData>
    <row r="1" spans="1:6">
      <c r="A1" s="36" t="s">
        <v>86</v>
      </c>
      <c r="B1" s="36" t="s">
        <v>87</v>
      </c>
      <c r="C1" s="36" t="s">
        <v>5</v>
      </c>
      <c r="D1" s="36" t="s">
        <v>98</v>
      </c>
      <c r="E1" s="36" t="s">
        <v>4</v>
      </c>
      <c r="F1" s="36" t="s">
        <v>7</v>
      </c>
    </row>
    <row r="2" spans="1:6">
      <c r="A2" s="37" t="s">
        <v>90</v>
      </c>
      <c r="B2" s="37" t="s">
        <v>91</v>
      </c>
      <c r="C2" s="37" t="s">
        <v>33</v>
      </c>
      <c r="D2" s="37">
        <v>4</v>
      </c>
      <c r="E2" s="38">
        <f>'29.04.26'!D8</f>
        <v>0.67</v>
      </c>
      <c r="F2" s="39">
        <f>D2*E2</f>
        <v>2.68</v>
      </c>
    </row>
    <row r="3" spans="1:6">
      <c r="A3" s="37" t="s">
        <v>90</v>
      </c>
      <c r="B3" s="37" t="s">
        <v>92</v>
      </c>
      <c r="C3" s="37" t="s">
        <v>33</v>
      </c>
      <c r="D3" s="37">
        <v>4</v>
      </c>
      <c r="E3" s="38">
        <f>'29.04.26'!D12</f>
        <v>0.57999999999999996</v>
      </c>
      <c r="F3" s="39">
        <f>D3*E3</f>
        <v>2.3199999999999998</v>
      </c>
    </row>
    <row r="4" spans="1:6">
      <c r="A4" s="37" t="s">
        <v>90</v>
      </c>
      <c r="B4" s="37" t="s">
        <v>75</v>
      </c>
      <c r="C4" s="37" t="s">
        <v>33</v>
      </c>
      <c r="D4" s="37">
        <v>4</v>
      </c>
      <c r="E4" s="38">
        <f>'29.04.26'!D11</f>
        <v>0.79</v>
      </c>
      <c r="F4" s="39">
        <f>D4*E4</f>
        <v>3.16</v>
      </c>
    </row>
    <row r="5" spans="1:6">
      <c r="A5" s="37" t="s">
        <v>90</v>
      </c>
      <c r="B5" s="37" t="s">
        <v>52</v>
      </c>
      <c r="C5" s="37" t="s">
        <v>33</v>
      </c>
      <c r="D5" s="37">
        <v>4</v>
      </c>
      <c r="E5" s="38">
        <f>'29.04.26'!D10</f>
        <v>0.79</v>
      </c>
      <c r="F5" s="39">
        <f>D5*E5</f>
        <v>3.16</v>
      </c>
    </row>
    <row r="6" spans="1:6">
      <c r="A6" s="37" t="s">
        <v>99</v>
      </c>
      <c r="B6" s="37" t="s">
        <v>100</v>
      </c>
      <c r="C6" s="37" t="s">
        <v>16</v>
      </c>
      <c r="D6" s="37">
        <v>5</v>
      </c>
      <c r="E6" s="38">
        <v>1.79</v>
      </c>
      <c r="F6" s="39">
        <f>D6*E6</f>
        <v>8.9499999999999993</v>
      </c>
    </row>
    <row r="7" spans="1:6">
      <c r="A7" s="37" t="s">
        <v>99</v>
      </c>
      <c r="B7" s="37" t="s">
        <v>101</v>
      </c>
      <c r="C7" s="37" t="s">
        <v>16</v>
      </c>
      <c r="D7" s="37">
        <v>3</v>
      </c>
      <c r="E7" s="38">
        <v>2.4900000000000002</v>
      </c>
      <c r="F7" s="39">
        <f>D7*E7</f>
        <v>7.4700000000000006</v>
      </c>
    </row>
    <row r="8" spans="1:6">
      <c r="A8" s="37" t="s">
        <v>99</v>
      </c>
      <c r="B8" s="37" t="s">
        <v>45</v>
      </c>
      <c r="C8" s="37" t="s">
        <v>16</v>
      </c>
      <c r="D8" s="37">
        <v>2</v>
      </c>
      <c r="E8" s="38">
        <v>2.99</v>
      </c>
      <c r="F8" s="39">
        <f>D8*E8</f>
        <v>5.98</v>
      </c>
    </row>
    <row r="9" spans="1:6">
      <c r="A9" s="37" t="s">
        <v>99</v>
      </c>
      <c r="B9" s="37" t="s">
        <v>39</v>
      </c>
      <c r="C9" s="37" t="s">
        <v>41</v>
      </c>
      <c r="D9" s="37">
        <v>4</v>
      </c>
      <c r="E9" s="38">
        <f>'29.04.26'!D5</f>
        <v>2.52</v>
      </c>
      <c r="F9" s="39">
        <f>D9*E9</f>
        <v>10.08</v>
      </c>
    </row>
    <row r="10" spans="1:6">
      <c r="A10" s="37" t="s">
        <v>99</v>
      </c>
      <c r="B10" s="37" t="s">
        <v>102</v>
      </c>
      <c r="C10" s="37" t="s">
        <v>103</v>
      </c>
      <c r="D10" s="37">
        <v>1</v>
      </c>
      <c r="E10" s="38">
        <v>7.99</v>
      </c>
      <c r="F10" s="39">
        <f>D10*E10</f>
        <v>7.99</v>
      </c>
    </row>
    <row r="11" spans="1:6">
      <c r="A11" s="37" t="s">
        <v>99</v>
      </c>
      <c r="B11" s="37" t="s">
        <v>104</v>
      </c>
      <c r="C11" s="37" t="s">
        <v>16</v>
      </c>
      <c r="D11" s="37">
        <v>1.5</v>
      </c>
      <c r="E11" s="39">
        <v>5.05</v>
      </c>
      <c r="F11" s="39">
        <f>D11*E11</f>
        <v>7.5749999999999993</v>
      </c>
    </row>
    <row r="12" spans="1:6">
      <c r="A12" s="37" t="s">
        <v>99</v>
      </c>
      <c r="B12" s="37" t="s">
        <v>78</v>
      </c>
      <c r="C12" s="37" t="s">
        <v>16</v>
      </c>
      <c r="D12" s="37">
        <v>2</v>
      </c>
      <c r="E12" s="38">
        <v>1.86</v>
      </c>
      <c r="F12" s="39">
        <f>D12*E12</f>
        <v>3.72</v>
      </c>
    </row>
    <row r="13" spans="1:6">
      <c r="A13" s="37" t="s">
        <v>99</v>
      </c>
      <c r="B13" s="37" t="s">
        <v>105</v>
      </c>
      <c r="C13" s="37" t="s">
        <v>41</v>
      </c>
      <c r="D13" s="37">
        <v>2</v>
      </c>
      <c r="E13" s="44">
        <v>2.59</v>
      </c>
      <c r="F13" s="45">
        <f>D13*E13</f>
        <v>5.18</v>
      </c>
    </row>
    <row r="14" spans="1:6">
      <c r="A14" s="37" t="s">
        <v>99</v>
      </c>
      <c r="B14" s="37" t="s">
        <v>59</v>
      </c>
      <c r="C14" s="37" t="s">
        <v>41</v>
      </c>
      <c r="D14" s="37">
        <v>1</v>
      </c>
      <c r="E14" s="46">
        <v>2.42</v>
      </c>
      <c r="F14" s="45">
        <f>D14*E14</f>
        <v>2.42</v>
      </c>
    </row>
    <row r="15" spans="1:6">
      <c r="A15" s="37" t="s">
        <v>99</v>
      </c>
      <c r="B15" s="37" t="s">
        <v>106</v>
      </c>
      <c r="C15" s="37" t="s">
        <v>41</v>
      </c>
      <c r="D15" s="37">
        <v>1</v>
      </c>
      <c r="E15" s="44">
        <v>2.99</v>
      </c>
      <c r="F15" s="45">
        <f>D15*E15</f>
        <v>2.99</v>
      </c>
    </row>
    <row r="16" spans="1:6">
      <c r="A16" s="37" t="s">
        <v>99</v>
      </c>
      <c r="B16" s="37" t="s">
        <v>62</v>
      </c>
      <c r="C16" s="37" t="s">
        <v>16</v>
      </c>
      <c r="D16" s="37">
        <v>1</v>
      </c>
      <c r="E16" s="47">
        <v>5.87</v>
      </c>
      <c r="F16" s="39">
        <f>D16*E16</f>
        <v>5.87</v>
      </c>
    </row>
    <row r="17" spans="1:6">
      <c r="A17" s="37" t="s">
        <v>99</v>
      </c>
      <c r="B17" s="37" t="s">
        <v>107</v>
      </c>
      <c r="C17" s="37" t="s">
        <v>16</v>
      </c>
      <c r="D17" s="37">
        <v>0.5</v>
      </c>
      <c r="E17" s="39">
        <v>2.64</v>
      </c>
      <c r="F17" s="39">
        <f>D17*E17</f>
        <v>1.32</v>
      </c>
    </row>
    <row r="18" spans="1:6">
      <c r="A18" s="37" t="s">
        <v>99</v>
      </c>
      <c r="B18" s="37" t="s">
        <v>108</v>
      </c>
      <c r="C18" s="37" t="s">
        <v>16</v>
      </c>
      <c r="D18" s="37">
        <v>0.8</v>
      </c>
      <c r="E18" s="47">
        <v>2.73</v>
      </c>
      <c r="F18" s="39">
        <f>D18*E18</f>
        <v>2.1840000000000002</v>
      </c>
    </row>
    <row r="19" spans="1:6">
      <c r="A19" s="37" t="s">
        <v>109</v>
      </c>
      <c r="B19" s="37" t="s">
        <v>110</v>
      </c>
      <c r="C19" s="37" t="s">
        <v>55</v>
      </c>
      <c r="D19" s="37">
        <v>12</v>
      </c>
      <c r="E19" s="39">
        <v>1.89</v>
      </c>
      <c r="F19" s="39">
        <f>D19*E19</f>
        <v>22.68</v>
      </c>
    </row>
    <row r="20" spans="1:6">
      <c r="A20" s="37" t="s">
        <v>109</v>
      </c>
      <c r="B20" s="37" t="s">
        <v>111</v>
      </c>
      <c r="C20" s="37" t="s">
        <v>55</v>
      </c>
      <c r="D20" s="37">
        <v>6</v>
      </c>
      <c r="E20" s="47">
        <v>1.85</v>
      </c>
      <c r="F20" s="39">
        <f>D20*E20</f>
        <v>11.100000000000001</v>
      </c>
    </row>
    <row r="21" spans="1:6">
      <c r="A21" s="37" t="s">
        <v>109</v>
      </c>
      <c r="B21" s="37" t="s">
        <v>112</v>
      </c>
      <c r="C21" s="37" t="s">
        <v>113</v>
      </c>
      <c r="D21" s="37">
        <v>2</v>
      </c>
      <c r="E21" s="40">
        <v>4.8899999999999997</v>
      </c>
      <c r="F21" s="39">
        <f>D21*E21</f>
        <v>9.7799999999999994</v>
      </c>
    </row>
    <row r="22" spans="1:6">
      <c r="A22" s="37"/>
      <c r="B22" s="41" t="s">
        <v>97</v>
      </c>
      <c r="C22" s="42"/>
      <c r="D22" s="42"/>
      <c r="E22" s="42"/>
      <c r="F22" s="43">
        <f>SUM(F2:F21)</f>
        <v>126.60899999999998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66316-DB2A-412E-A271-7FB4CCE7426F}">
  <dimension ref="A1:F5"/>
  <sheetViews>
    <sheetView workbookViewId="0">
      <selection activeCell="K23" sqref="K23"/>
    </sheetView>
  </sheetViews>
  <sheetFormatPr defaultRowHeight="13.5"/>
  <cols>
    <col min="1" max="1" width="14" bestFit="1" customWidth="1"/>
    <col min="2" max="2" width="16.25" bestFit="1" customWidth="1"/>
    <col min="3" max="3" width="4.625" bestFit="1" customWidth="1"/>
    <col min="4" max="4" width="4.125" bestFit="1" customWidth="1"/>
    <col min="5" max="5" width="12.625" bestFit="1" customWidth="1"/>
    <col min="6" max="6" width="7.625" bestFit="1" customWidth="1"/>
  </cols>
  <sheetData>
    <row r="1" spans="1:6">
      <c r="A1" s="48" t="s">
        <v>86</v>
      </c>
      <c r="B1" s="48" t="s">
        <v>87</v>
      </c>
      <c r="C1" s="48" t="s">
        <v>5</v>
      </c>
      <c r="D1" s="48" t="s">
        <v>98</v>
      </c>
      <c r="E1" s="48" t="s">
        <v>4</v>
      </c>
      <c r="F1" s="48" t="s">
        <v>7</v>
      </c>
    </row>
    <row r="2" spans="1:6">
      <c r="A2" s="49" t="s">
        <v>90</v>
      </c>
      <c r="B2" s="49" t="s">
        <v>91</v>
      </c>
      <c r="C2" s="49" t="s">
        <v>33</v>
      </c>
      <c r="D2" s="49">
        <v>5</v>
      </c>
      <c r="E2" s="50">
        <f>'06.05.26'!E2</f>
        <v>0.67</v>
      </c>
      <c r="F2" s="51">
        <f>D2*E2</f>
        <v>3.35</v>
      </c>
    </row>
    <row r="3" spans="1:6">
      <c r="A3" s="10" t="s">
        <v>90</v>
      </c>
      <c r="B3" s="10" t="s">
        <v>114</v>
      </c>
      <c r="C3" s="10" t="s">
        <v>33</v>
      </c>
      <c r="D3" s="10">
        <v>4</v>
      </c>
      <c r="E3" s="54">
        <f>'06.05.26'!E3</f>
        <v>0.67</v>
      </c>
      <c r="F3" s="53">
        <f>D3*E3</f>
        <v>2.68</v>
      </c>
    </row>
    <row r="4" spans="1:6">
      <c r="A4" s="49" t="s">
        <v>90</v>
      </c>
      <c r="B4" s="49" t="s">
        <v>92</v>
      </c>
      <c r="C4" s="49" t="s">
        <v>33</v>
      </c>
      <c r="D4" s="49">
        <v>4</v>
      </c>
      <c r="E4" s="50">
        <f>'04.05.26'!E3</f>
        <v>0.57999999999999996</v>
      </c>
      <c r="F4" s="51">
        <f>D4*E4</f>
        <v>2.3199999999999998</v>
      </c>
    </row>
    <row r="5" spans="1:6">
      <c r="A5" s="10"/>
      <c r="B5" s="56" t="s">
        <v>97</v>
      </c>
      <c r="C5" s="57"/>
      <c r="D5" s="57"/>
      <c r="E5" s="57"/>
      <c r="F5" s="58">
        <f>SUM(F2:F4)</f>
        <v>8.35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082B5-CDC5-496A-A0AE-4A64E19FD2CF}">
  <dimension ref="A1:F17"/>
  <sheetViews>
    <sheetView workbookViewId="0">
      <selection activeCell="M17" sqref="M17"/>
    </sheetView>
  </sheetViews>
  <sheetFormatPr defaultRowHeight="13.5"/>
  <cols>
    <col min="1" max="1" width="14" bestFit="1" customWidth="1"/>
    <col min="2" max="2" width="25.875" bestFit="1" customWidth="1"/>
    <col min="3" max="3" width="4.625" bestFit="1" customWidth="1"/>
    <col min="4" max="4" width="4.125" bestFit="1" customWidth="1"/>
    <col min="5" max="5" width="12.625" bestFit="1" customWidth="1"/>
    <col min="6" max="6" width="7.625" bestFit="1" customWidth="1"/>
  </cols>
  <sheetData>
    <row r="1" spans="1:6">
      <c r="A1" s="48" t="s">
        <v>86</v>
      </c>
      <c r="B1" s="48" t="s">
        <v>87</v>
      </c>
      <c r="C1" s="48" t="s">
        <v>5</v>
      </c>
      <c r="D1" s="48" t="s">
        <v>98</v>
      </c>
      <c r="E1" s="48" t="s">
        <v>4</v>
      </c>
      <c r="F1" s="48" t="s">
        <v>7</v>
      </c>
    </row>
    <row r="2" spans="1:6">
      <c r="A2" s="49" t="s">
        <v>90</v>
      </c>
      <c r="B2" s="49" t="s">
        <v>91</v>
      </c>
      <c r="C2" s="49" t="s">
        <v>33</v>
      </c>
      <c r="D2" s="49">
        <v>5</v>
      </c>
      <c r="E2" s="50">
        <f>'04.05.26'!E2</f>
        <v>0.67</v>
      </c>
      <c r="F2" s="51">
        <f>D2*E2</f>
        <v>3.35</v>
      </c>
    </row>
    <row r="3" spans="1:6">
      <c r="A3" s="10" t="s">
        <v>90</v>
      </c>
      <c r="B3" s="10" t="s">
        <v>114</v>
      </c>
      <c r="C3" s="10" t="s">
        <v>33</v>
      </c>
      <c r="D3" s="10">
        <v>5</v>
      </c>
      <c r="E3" s="52">
        <v>0.67</v>
      </c>
      <c r="F3" s="53">
        <f>D3*E3</f>
        <v>3.35</v>
      </c>
    </row>
    <row r="4" spans="1:6">
      <c r="A4" s="49" t="s">
        <v>90</v>
      </c>
      <c r="B4" s="49" t="s">
        <v>115</v>
      </c>
      <c r="C4" s="49" t="s">
        <v>33</v>
      </c>
      <c r="D4" s="49">
        <v>8</v>
      </c>
      <c r="E4" s="50">
        <f>'04.05.26'!E4</f>
        <v>0.79</v>
      </c>
      <c r="F4" s="51">
        <f>D4*E4</f>
        <v>6.32</v>
      </c>
    </row>
    <row r="5" spans="1:6">
      <c r="A5" s="10" t="s">
        <v>90</v>
      </c>
      <c r="B5" s="10" t="s">
        <v>116</v>
      </c>
      <c r="C5" s="10" t="s">
        <v>33</v>
      </c>
      <c r="D5" s="10">
        <v>6</v>
      </c>
      <c r="E5" s="52">
        <v>1.02</v>
      </c>
      <c r="F5" s="53">
        <f>D5*E5</f>
        <v>6.12</v>
      </c>
    </row>
    <row r="6" spans="1:6">
      <c r="A6" s="49" t="s">
        <v>99</v>
      </c>
      <c r="B6" s="49" t="s">
        <v>100</v>
      </c>
      <c r="C6" s="49" t="s">
        <v>16</v>
      </c>
      <c r="D6" s="49">
        <v>5</v>
      </c>
      <c r="E6" s="50">
        <f>'04.05.26'!E6</f>
        <v>1.79</v>
      </c>
      <c r="F6" s="51">
        <f>D6*E6</f>
        <v>8.9499999999999993</v>
      </c>
    </row>
    <row r="7" spans="1:6">
      <c r="A7" s="10" t="s">
        <v>99</v>
      </c>
      <c r="B7" s="10" t="s">
        <v>101</v>
      </c>
      <c r="C7" s="10" t="s">
        <v>16</v>
      </c>
      <c r="D7" s="10">
        <v>3</v>
      </c>
      <c r="E7" s="54">
        <f>'04.05.26'!E7</f>
        <v>2.4900000000000002</v>
      </c>
      <c r="F7" s="53">
        <f>D7*E7</f>
        <v>7.4700000000000006</v>
      </c>
    </row>
    <row r="8" spans="1:6">
      <c r="A8" s="49" t="s">
        <v>99</v>
      </c>
      <c r="B8" s="49" t="s">
        <v>45</v>
      </c>
      <c r="C8" s="49" t="s">
        <v>16</v>
      </c>
      <c r="D8" s="49">
        <v>2</v>
      </c>
      <c r="E8" s="50">
        <f>'04.05.26'!E8</f>
        <v>2.99</v>
      </c>
      <c r="F8" s="51">
        <f>D8*E8</f>
        <v>5.98</v>
      </c>
    </row>
    <row r="9" spans="1:6">
      <c r="A9" s="10" t="s">
        <v>99</v>
      </c>
      <c r="B9" s="10" t="s">
        <v>39</v>
      </c>
      <c r="C9" s="10" t="s">
        <v>16</v>
      </c>
      <c r="D9" s="10">
        <v>4</v>
      </c>
      <c r="E9" s="52">
        <v>2.52</v>
      </c>
      <c r="F9" s="53">
        <f>D9*E9</f>
        <v>10.08</v>
      </c>
    </row>
    <row r="10" spans="1:6">
      <c r="A10" s="49" t="s">
        <v>99</v>
      </c>
      <c r="B10" s="49" t="s">
        <v>117</v>
      </c>
      <c r="C10" s="49" t="s">
        <v>72</v>
      </c>
      <c r="D10" s="49">
        <v>1</v>
      </c>
      <c r="E10" s="55">
        <v>8.7899999999999991</v>
      </c>
      <c r="F10" s="51">
        <f>D10*E10</f>
        <v>8.7899999999999991</v>
      </c>
    </row>
    <row r="11" spans="1:6">
      <c r="A11" s="10" t="s">
        <v>99</v>
      </c>
      <c r="B11" s="10" t="s">
        <v>118</v>
      </c>
      <c r="C11" s="10" t="s">
        <v>72</v>
      </c>
      <c r="D11" s="10">
        <v>2</v>
      </c>
      <c r="E11" s="54">
        <f>'04.05.26'!E12</f>
        <v>1.86</v>
      </c>
      <c r="F11" s="53">
        <f>D11*E11</f>
        <v>3.72</v>
      </c>
    </row>
    <row r="12" spans="1:6">
      <c r="A12" s="49" t="s">
        <v>99</v>
      </c>
      <c r="B12" s="49" t="s">
        <v>104</v>
      </c>
      <c r="C12" s="49" t="s">
        <v>16</v>
      </c>
      <c r="D12" s="49">
        <v>1.5</v>
      </c>
      <c r="E12" s="50">
        <f>'04.05.26'!E11</f>
        <v>5.05</v>
      </c>
      <c r="F12" s="51">
        <f>D12*E12</f>
        <v>7.5749999999999993</v>
      </c>
    </row>
    <row r="13" spans="1:6">
      <c r="A13" s="10" t="s">
        <v>99</v>
      </c>
      <c r="B13" s="10" t="s">
        <v>62</v>
      </c>
      <c r="C13" s="10" t="s">
        <v>16</v>
      </c>
      <c r="D13" s="10">
        <v>0.8</v>
      </c>
      <c r="E13" s="54">
        <f>'04.05.26'!E16</f>
        <v>5.87</v>
      </c>
      <c r="F13" s="53">
        <f>D13*E13</f>
        <v>4.6960000000000006</v>
      </c>
    </row>
    <row r="14" spans="1:6">
      <c r="A14" s="49" t="s">
        <v>99</v>
      </c>
      <c r="B14" s="49" t="s">
        <v>107</v>
      </c>
      <c r="C14" s="49" t="s">
        <v>16</v>
      </c>
      <c r="D14" s="49">
        <v>0.5</v>
      </c>
      <c r="E14" s="50">
        <f>'04.05.26'!E17</f>
        <v>2.64</v>
      </c>
      <c r="F14" s="51">
        <f>D14*E14</f>
        <v>1.32</v>
      </c>
    </row>
    <row r="15" spans="1:6">
      <c r="A15" s="49" t="s">
        <v>119</v>
      </c>
      <c r="B15" s="49" t="s">
        <v>120</v>
      </c>
      <c r="C15" s="49" t="s">
        <v>33</v>
      </c>
      <c r="D15" s="49">
        <v>90</v>
      </c>
      <c r="E15" s="50">
        <v>0.67</v>
      </c>
      <c r="F15" s="59">
        <f>D15*E15</f>
        <v>60.300000000000004</v>
      </c>
    </row>
    <row r="16" spans="1:6">
      <c r="A16" s="10" t="s">
        <v>99</v>
      </c>
      <c r="B16" s="10" t="s">
        <v>108</v>
      </c>
      <c r="C16" s="10" t="s">
        <v>16</v>
      </c>
      <c r="D16" s="10">
        <v>0.8</v>
      </c>
      <c r="E16" s="54">
        <f>'04.05.26'!E18</f>
        <v>2.73</v>
      </c>
      <c r="F16" s="53">
        <f>D16*E16</f>
        <v>2.1840000000000002</v>
      </c>
    </row>
    <row r="17" spans="1:6">
      <c r="A17" s="10"/>
      <c r="B17" s="56" t="s">
        <v>97</v>
      </c>
      <c r="C17" s="57"/>
      <c r="D17" s="57"/>
      <c r="E17" s="57"/>
      <c r="F17" s="58">
        <f>SUM(F2:F16)</f>
        <v>140.20500000000001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E384D-4959-4D30-9244-7C0EE456FEDA}">
  <dimension ref="A1:F6"/>
  <sheetViews>
    <sheetView workbookViewId="0">
      <selection activeCell="K13" sqref="K13"/>
    </sheetView>
  </sheetViews>
  <sheetFormatPr defaultRowHeight="13.5"/>
  <cols>
    <col min="1" max="1" width="14" bestFit="1" customWidth="1"/>
    <col min="2" max="2" width="13.625" bestFit="1" customWidth="1"/>
    <col min="3" max="3" width="4.625" bestFit="1" customWidth="1"/>
    <col min="4" max="4" width="4.125" bestFit="1" customWidth="1"/>
    <col min="5" max="5" width="12.625" bestFit="1" customWidth="1"/>
    <col min="6" max="6" width="7.625" bestFit="1" customWidth="1"/>
  </cols>
  <sheetData>
    <row r="1" spans="1:6">
      <c r="A1" s="48" t="s">
        <v>86</v>
      </c>
      <c r="B1" s="48" t="s">
        <v>87</v>
      </c>
      <c r="C1" s="48" t="s">
        <v>5</v>
      </c>
      <c r="D1" s="48" t="s">
        <v>98</v>
      </c>
      <c r="E1" s="48" t="s">
        <v>4</v>
      </c>
      <c r="F1" s="48" t="s">
        <v>7</v>
      </c>
    </row>
    <row r="2" spans="1:6">
      <c r="A2" s="49" t="s">
        <v>90</v>
      </c>
      <c r="B2" s="49" t="s">
        <v>91</v>
      </c>
      <c r="C2" s="49" t="s">
        <v>33</v>
      </c>
      <c r="D2" s="49">
        <v>5</v>
      </c>
      <c r="E2" s="50">
        <f>'05.05.26'!E2</f>
        <v>0.67</v>
      </c>
      <c r="F2" s="51">
        <f>D2*E2</f>
        <v>3.35</v>
      </c>
    </row>
    <row r="3" spans="1:6">
      <c r="A3" s="10" t="s">
        <v>90</v>
      </c>
      <c r="B3" s="10" t="s">
        <v>92</v>
      </c>
      <c r="C3" s="10" t="s">
        <v>33</v>
      </c>
      <c r="D3" s="10">
        <v>4</v>
      </c>
      <c r="E3" s="54">
        <f>'05.05.26'!E4</f>
        <v>0.57999999999999996</v>
      </c>
      <c r="F3" s="53">
        <f>D3*E3</f>
        <v>2.3199999999999998</v>
      </c>
    </row>
    <row r="4" spans="1:6">
      <c r="A4" s="49" t="s">
        <v>90</v>
      </c>
      <c r="B4" s="49" t="s">
        <v>93</v>
      </c>
      <c r="C4" s="49" t="s">
        <v>33</v>
      </c>
      <c r="D4" s="49">
        <v>6</v>
      </c>
      <c r="E4" s="50">
        <f>'06.05.26'!E4</f>
        <v>0.79</v>
      </c>
      <c r="F4" s="51">
        <f>D4*E4</f>
        <v>4.74</v>
      </c>
    </row>
    <row r="5" spans="1:6">
      <c r="A5" s="10" t="s">
        <v>53</v>
      </c>
      <c r="B5" s="10" t="s">
        <v>54</v>
      </c>
      <c r="C5" s="10" t="s">
        <v>55</v>
      </c>
      <c r="D5" s="10">
        <v>12</v>
      </c>
      <c r="E5" s="54">
        <v>1.99</v>
      </c>
      <c r="F5" s="53">
        <f>E5*D5</f>
        <v>23.88</v>
      </c>
    </row>
    <row r="6" spans="1:6">
      <c r="A6" s="10"/>
      <c r="B6" s="56" t="s">
        <v>97</v>
      </c>
      <c r="C6" s="57"/>
      <c r="D6" s="57"/>
      <c r="E6" s="57"/>
      <c r="F6" s="58">
        <f>SUM(F1:F5)</f>
        <v>34.29</v>
      </c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14A73-366A-4C01-9B61-96EC1D5D9D0C}">
  <dimension ref="A1:F5"/>
  <sheetViews>
    <sheetView workbookViewId="0">
      <selection activeCell="K14" sqref="K14"/>
    </sheetView>
  </sheetViews>
  <sheetFormatPr defaultRowHeight="13.5"/>
  <cols>
    <col min="1" max="1" width="14" bestFit="1" customWidth="1"/>
    <col min="2" max="2" width="13.625" bestFit="1" customWidth="1"/>
    <col min="3" max="3" width="4.625" bestFit="1" customWidth="1"/>
    <col min="4" max="4" width="4.125" bestFit="1" customWidth="1"/>
    <col min="5" max="5" width="12.625" bestFit="1" customWidth="1"/>
    <col min="6" max="6" width="7.625" bestFit="1" customWidth="1"/>
  </cols>
  <sheetData>
    <row r="1" spans="1:6">
      <c r="A1" s="48" t="s">
        <v>86</v>
      </c>
      <c r="B1" s="48" t="s">
        <v>87</v>
      </c>
      <c r="C1" s="48" t="s">
        <v>5</v>
      </c>
      <c r="D1" s="48" t="s">
        <v>98</v>
      </c>
      <c r="E1" s="48" t="s">
        <v>4</v>
      </c>
      <c r="F1" s="48" t="s">
        <v>7</v>
      </c>
    </row>
    <row r="2" spans="1:6">
      <c r="A2" s="49" t="s">
        <v>90</v>
      </c>
      <c r="B2" s="49" t="s">
        <v>91</v>
      </c>
      <c r="C2" s="49" t="s">
        <v>33</v>
      </c>
      <c r="D2" s="49">
        <v>5</v>
      </c>
      <c r="E2" s="50">
        <f>'05.05.26'!E2</f>
        <v>0.67</v>
      </c>
      <c r="F2" s="51">
        <f>D2*E2</f>
        <v>3.35</v>
      </c>
    </row>
    <row r="3" spans="1:6">
      <c r="A3" s="10" t="s">
        <v>90</v>
      </c>
      <c r="B3" s="10" t="s">
        <v>92</v>
      </c>
      <c r="C3" s="10" t="s">
        <v>33</v>
      </c>
      <c r="D3" s="10">
        <v>2</v>
      </c>
      <c r="E3" s="54">
        <f>'05.05.26'!E4</f>
        <v>0.57999999999999996</v>
      </c>
      <c r="F3" s="53">
        <f>D3*E3</f>
        <v>1.1599999999999999</v>
      </c>
    </row>
    <row r="4" spans="1:6">
      <c r="A4" s="49" t="s">
        <v>90</v>
      </c>
      <c r="B4" s="49" t="s">
        <v>93</v>
      </c>
      <c r="C4" s="49" t="s">
        <v>33</v>
      </c>
      <c r="D4" s="49">
        <v>5</v>
      </c>
      <c r="E4" s="50">
        <f>'06.05.26'!E4</f>
        <v>0.79</v>
      </c>
      <c r="F4" s="51">
        <f>D4*E4</f>
        <v>3.95</v>
      </c>
    </row>
    <row r="5" spans="1:6">
      <c r="A5" s="10"/>
      <c r="B5" s="56" t="s">
        <v>97</v>
      </c>
      <c r="C5" s="57"/>
      <c r="D5" s="57"/>
      <c r="E5" s="57"/>
      <c r="F5" s="58">
        <f>SUM(F2:F4)</f>
        <v>8.4600000000000009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4BD49-413A-4FCA-99FD-5CE2C1517AE2}">
  <dimension ref="A1:F22"/>
  <sheetViews>
    <sheetView workbookViewId="0">
      <selection activeCell="J28" sqref="J28"/>
    </sheetView>
  </sheetViews>
  <sheetFormatPr defaultRowHeight="13.5"/>
  <cols>
    <col min="1" max="1" width="18.375" customWidth="1"/>
    <col min="2" max="2" width="40" customWidth="1"/>
    <col min="3" max="3" width="13.375" customWidth="1"/>
    <col min="4" max="4" width="10" customWidth="1"/>
    <col min="5" max="5" width="16.625" customWidth="1"/>
    <col min="6" max="6" width="15" customWidth="1"/>
  </cols>
  <sheetData>
    <row r="1" spans="1:6" ht="15">
      <c r="A1" s="60" t="s">
        <v>86</v>
      </c>
      <c r="B1" s="60" t="s">
        <v>87</v>
      </c>
      <c r="C1" s="60" t="s">
        <v>5</v>
      </c>
      <c r="D1" s="60" t="s">
        <v>98</v>
      </c>
      <c r="E1" s="60" t="s">
        <v>4</v>
      </c>
      <c r="F1" s="60" t="s">
        <v>7</v>
      </c>
    </row>
    <row r="2" spans="1:6" ht="15">
      <c r="A2" s="61" t="s">
        <v>90</v>
      </c>
      <c r="B2" s="61" t="s">
        <v>121</v>
      </c>
      <c r="C2" s="61" t="s">
        <v>33</v>
      </c>
      <c r="D2" s="61">
        <v>6</v>
      </c>
      <c r="E2" s="62">
        <v>1.01</v>
      </c>
      <c r="F2" s="63">
        <f>D2*E2</f>
        <v>6.0600000000000005</v>
      </c>
    </row>
    <row r="3" spans="1:6" ht="15">
      <c r="A3" s="64" t="s">
        <v>90</v>
      </c>
      <c r="B3" s="64" t="s">
        <v>122</v>
      </c>
      <c r="C3" s="64" t="s">
        <v>33</v>
      </c>
      <c r="D3" s="64">
        <v>9</v>
      </c>
      <c r="E3" s="62">
        <v>0.93</v>
      </c>
      <c r="F3" s="65">
        <f>D3*E3</f>
        <v>8.370000000000001</v>
      </c>
    </row>
    <row r="4" spans="1:6" ht="15">
      <c r="A4" s="61" t="s">
        <v>90</v>
      </c>
      <c r="B4" s="61" t="s">
        <v>91</v>
      </c>
      <c r="C4" s="61" t="s">
        <v>33</v>
      </c>
      <c r="D4" s="61">
        <v>4</v>
      </c>
      <c r="E4" s="66">
        <f>'08.05.26'!E2</f>
        <v>0.67</v>
      </c>
      <c r="F4" s="63">
        <f>D4*E4</f>
        <v>2.68</v>
      </c>
    </row>
    <row r="5" spans="1:6" ht="15">
      <c r="A5" s="64" t="s">
        <v>90</v>
      </c>
      <c r="B5" s="64" t="s">
        <v>92</v>
      </c>
      <c r="C5" s="64" t="s">
        <v>33</v>
      </c>
      <c r="D5" s="64">
        <v>4</v>
      </c>
      <c r="E5" s="67">
        <f>'08.05.26'!E3</f>
        <v>0.57999999999999996</v>
      </c>
      <c r="F5" s="65">
        <f>D5*E5</f>
        <v>2.3199999999999998</v>
      </c>
    </row>
    <row r="6" spans="1:6" ht="15">
      <c r="A6" s="61" t="s">
        <v>90</v>
      </c>
      <c r="B6" s="61" t="s">
        <v>75</v>
      </c>
      <c r="C6" s="61" t="s">
        <v>33</v>
      </c>
      <c r="D6" s="61">
        <v>4</v>
      </c>
      <c r="E6" s="66">
        <f>'08.05.26'!E4</f>
        <v>0.79</v>
      </c>
      <c r="F6" s="63">
        <f>D6*E6</f>
        <v>3.16</v>
      </c>
    </row>
    <row r="7" spans="1:6" ht="15">
      <c r="A7" s="64" t="s">
        <v>90</v>
      </c>
      <c r="B7" s="64" t="s">
        <v>52</v>
      </c>
      <c r="C7" s="64" t="s">
        <v>33</v>
      </c>
      <c r="D7" s="64">
        <v>4</v>
      </c>
      <c r="E7" s="67">
        <f>'06.05.26'!E4</f>
        <v>0.79</v>
      </c>
      <c r="F7" s="65">
        <f>D7*E7</f>
        <v>3.16</v>
      </c>
    </row>
    <row r="8" spans="1:6" ht="15">
      <c r="A8" s="61" t="s">
        <v>99</v>
      </c>
      <c r="B8" s="61" t="s">
        <v>100</v>
      </c>
      <c r="C8" s="61" t="s">
        <v>16</v>
      </c>
      <c r="D8" s="61">
        <v>5</v>
      </c>
      <c r="E8" s="66">
        <f>'06.05.26'!E6</f>
        <v>1.79</v>
      </c>
      <c r="F8" s="63">
        <f>D8*E8</f>
        <v>8.9499999999999993</v>
      </c>
    </row>
    <row r="9" spans="1:6" ht="15">
      <c r="A9" s="64" t="s">
        <v>99</v>
      </c>
      <c r="B9" s="64" t="s">
        <v>101</v>
      </c>
      <c r="C9" s="64" t="s">
        <v>16</v>
      </c>
      <c r="D9" s="64">
        <v>2</v>
      </c>
      <c r="E9" s="67">
        <f>'06.05.26'!E7</f>
        <v>2.4900000000000002</v>
      </c>
      <c r="F9" s="65">
        <f>D9*E9</f>
        <v>4.9800000000000004</v>
      </c>
    </row>
    <row r="10" spans="1:6" ht="15">
      <c r="A10" s="61" t="s">
        <v>99</v>
      </c>
      <c r="B10" s="61" t="s">
        <v>45</v>
      </c>
      <c r="C10" s="61" t="s">
        <v>16</v>
      </c>
      <c r="D10" s="61">
        <v>2</v>
      </c>
      <c r="E10" s="66">
        <f>'06.05.26'!E8</f>
        <v>2.99</v>
      </c>
      <c r="F10" s="63">
        <f>D10*E10</f>
        <v>5.98</v>
      </c>
    </row>
    <row r="11" spans="1:6" ht="15">
      <c r="A11" s="64" t="s">
        <v>99</v>
      </c>
      <c r="B11" s="64" t="s">
        <v>39</v>
      </c>
      <c r="C11" s="64" t="s">
        <v>16</v>
      </c>
      <c r="D11" s="64">
        <v>2</v>
      </c>
      <c r="E11" s="67">
        <f>'06.05.26'!E9</f>
        <v>2.52</v>
      </c>
      <c r="F11" s="65">
        <f>D11*E11</f>
        <v>5.04</v>
      </c>
    </row>
    <row r="12" spans="1:6" ht="15">
      <c r="A12" s="61" t="s">
        <v>99</v>
      </c>
      <c r="B12" s="61" t="s">
        <v>50</v>
      </c>
      <c r="C12" s="61" t="s">
        <v>16</v>
      </c>
      <c r="D12" s="61">
        <v>5</v>
      </c>
      <c r="E12" s="62">
        <v>1.64</v>
      </c>
      <c r="F12" s="63">
        <f>D12*E12</f>
        <v>8.1999999999999993</v>
      </c>
    </row>
    <row r="13" spans="1:6" ht="15">
      <c r="A13" s="64" t="s">
        <v>99</v>
      </c>
      <c r="B13" s="64" t="s">
        <v>104</v>
      </c>
      <c r="C13" s="64" t="s">
        <v>16</v>
      </c>
      <c r="D13" s="64">
        <v>1.5</v>
      </c>
      <c r="E13" s="67">
        <f>'06.05.26'!E12</f>
        <v>5.05</v>
      </c>
      <c r="F13" s="65">
        <f>D13*E13</f>
        <v>7.5749999999999993</v>
      </c>
    </row>
    <row r="14" spans="1:6" ht="15">
      <c r="A14" s="61" t="s">
        <v>99</v>
      </c>
      <c r="B14" s="61" t="s">
        <v>78</v>
      </c>
      <c r="C14" s="61" t="s">
        <v>16</v>
      </c>
      <c r="D14" s="61">
        <v>0.2</v>
      </c>
      <c r="E14" s="62">
        <v>9.5</v>
      </c>
      <c r="F14" s="63">
        <f>D14*E14</f>
        <v>1.9000000000000001</v>
      </c>
    </row>
    <row r="15" spans="1:6" ht="15">
      <c r="A15" s="64" t="s">
        <v>99</v>
      </c>
      <c r="B15" s="64" t="s">
        <v>62</v>
      </c>
      <c r="C15" s="64" t="s">
        <v>16</v>
      </c>
      <c r="D15" s="64">
        <v>0.8</v>
      </c>
      <c r="E15" s="67">
        <f>'06.05.26'!E13</f>
        <v>5.87</v>
      </c>
      <c r="F15" s="65">
        <f>D15*E15</f>
        <v>4.6960000000000006</v>
      </c>
    </row>
    <row r="16" spans="1:6" ht="15">
      <c r="A16" s="61" t="s">
        <v>99</v>
      </c>
      <c r="B16" s="61" t="s">
        <v>107</v>
      </c>
      <c r="C16" s="61" t="s">
        <v>16</v>
      </c>
      <c r="D16" s="61">
        <v>0.5</v>
      </c>
      <c r="E16" s="66">
        <f>'06.05.26'!E14</f>
        <v>2.64</v>
      </c>
      <c r="F16" s="63">
        <f>D16*E16</f>
        <v>1.32</v>
      </c>
    </row>
    <row r="17" spans="1:6" ht="15">
      <c r="A17" s="64" t="s">
        <v>99</v>
      </c>
      <c r="B17" s="64" t="s">
        <v>108</v>
      </c>
      <c r="C17" s="64" t="s">
        <v>16</v>
      </c>
      <c r="D17" s="64">
        <v>0.8</v>
      </c>
      <c r="E17" s="67">
        <f>'06.05.26'!E16</f>
        <v>2.73</v>
      </c>
      <c r="F17" s="65">
        <f>D17*E17</f>
        <v>2.1840000000000002</v>
      </c>
    </row>
    <row r="18" spans="1:6" ht="15">
      <c r="A18" s="61" t="s">
        <v>109</v>
      </c>
      <c r="B18" s="61" t="s">
        <v>110</v>
      </c>
      <c r="C18" s="61" t="s">
        <v>55</v>
      </c>
      <c r="D18" s="61">
        <v>6</v>
      </c>
      <c r="E18" s="66">
        <f>'07.05.26'!E5</f>
        <v>1.99</v>
      </c>
      <c r="F18" s="63">
        <f>D18*E18</f>
        <v>11.94</v>
      </c>
    </row>
    <row r="19" spans="1:6" ht="15">
      <c r="A19" s="64" t="s">
        <v>109</v>
      </c>
      <c r="B19" s="64" t="s">
        <v>111</v>
      </c>
      <c r="C19" s="64" t="s">
        <v>55</v>
      </c>
      <c r="D19" s="64">
        <v>6</v>
      </c>
      <c r="E19" s="67">
        <f>'04.05.26'!E20</f>
        <v>1.85</v>
      </c>
      <c r="F19" s="65">
        <f>D19*E19</f>
        <v>11.100000000000001</v>
      </c>
    </row>
    <row r="20" spans="1:6" ht="15">
      <c r="A20" s="61" t="s">
        <v>109</v>
      </c>
      <c r="B20" s="61" t="s">
        <v>112</v>
      </c>
      <c r="C20" s="61" t="s">
        <v>123</v>
      </c>
      <c r="D20" s="61">
        <v>2</v>
      </c>
      <c r="E20" s="66">
        <f>'04.05.26'!E21</f>
        <v>4.8899999999999997</v>
      </c>
      <c r="F20" s="63">
        <f>D20*E20</f>
        <v>9.7799999999999994</v>
      </c>
    </row>
    <row r="21" spans="1:6" ht="15">
      <c r="A21" s="64" t="s">
        <v>109</v>
      </c>
      <c r="B21" s="64" t="s">
        <v>124</v>
      </c>
      <c r="C21" s="64" t="s">
        <v>125</v>
      </c>
      <c r="D21" s="64">
        <v>2</v>
      </c>
      <c r="E21" s="62">
        <v>16.53</v>
      </c>
      <c r="F21" s="65">
        <f>D21*E21</f>
        <v>33.06</v>
      </c>
    </row>
    <row r="22" spans="1:6" ht="15">
      <c r="A22" s="64"/>
      <c r="B22" s="68" t="s">
        <v>97</v>
      </c>
      <c r="C22" s="69"/>
      <c r="D22" s="69"/>
      <c r="E22" s="69"/>
      <c r="F22" s="70">
        <f>SUM(F2:F21)</f>
        <v>142.45500000000001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57A0E-7314-46D5-AD14-7C22D4F9C57D}">
  <dimension ref="A1:F6"/>
  <sheetViews>
    <sheetView workbookViewId="0">
      <selection activeCell="L12" sqref="L12"/>
    </sheetView>
  </sheetViews>
  <sheetFormatPr defaultRowHeight="13.5"/>
  <cols>
    <col min="1" max="1" width="18.375" customWidth="1"/>
    <col min="2" max="2" width="33.375" customWidth="1"/>
    <col min="3" max="3" width="11.625" customWidth="1"/>
    <col min="4" max="4" width="10" customWidth="1"/>
    <col min="5" max="5" width="16.625" customWidth="1"/>
    <col min="6" max="6" width="15" customWidth="1"/>
  </cols>
  <sheetData>
    <row r="1" spans="1:6" ht="15">
      <c r="A1" s="60" t="s">
        <v>86</v>
      </c>
      <c r="B1" s="60" t="s">
        <v>87</v>
      </c>
      <c r="C1" s="60" t="s">
        <v>5</v>
      </c>
      <c r="D1" s="60" t="s">
        <v>98</v>
      </c>
      <c r="E1" s="60" t="s">
        <v>4</v>
      </c>
      <c r="F1" s="60" t="s">
        <v>7</v>
      </c>
    </row>
    <row r="2" spans="1:6" ht="15">
      <c r="A2" s="61" t="s">
        <v>90</v>
      </c>
      <c r="B2" s="61" t="s">
        <v>91</v>
      </c>
      <c r="C2" s="61" t="s">
        <v>33</v>
      </c>
      <c r="D2" s="61">
        <v>5</v>
      </c>
      <c r="E2" s="66">
        <f>'11.05.26'!E4</f>
        <v>0.67</v>
      </c>
      <c r="F2" s="63">
        <f>D2*E2</f>
        <v>3.35</v>
      </c>
    </row>
    <row r="3" spans="1:6" ht="15">
      <c r="A3" s="64" t="s">
        <v>90</v>
      </c>
      <c r="B3" s="64" t="s">
        <v>114</v>
      </c>
      <c r="C3" s="64" t="s">
        <v>33</v>
      </c>
      <c r="D3" s="64">
        <v>4</v>
      </c>
      <c r="E3" s="67">
        <f>'06.05.26'!E3</f>
        <v>0.67</v>
      </c>
      <c r="F3" s="65">
        <f>D3*E3</f>
        <v>2.68</v>
      </c>
    </row>
    <row r="4" spans="1:6" ht="15">
      <c r="A4" s="61" t="s">
        <v>90</v>
      </c>
      <c r="B4" s="61" t="s">
        <v>92</v>
      </c>
      <c r="C4" s="61" t="s">
        <v>33</v>
      </c>
      <c r="D4" s="61">
        <v>4</v>
      </c>
      <c r="E4" s="66">
        <f>'11.05.26'!E5</f>
        <v>0.57999999999999996</v>
      </c>
      <c r="F4" s="63">
        <f>D4*E4</f>
        <v>2.3199999999999998</v>
      </c>
    </row>
    <row r="5" spans="1:6" ht="15">
      <c r="A5" s="61" t="s">
        <v>90</v>
      </c>
      <c r="B5" s="61" t="s">
        <v>126</v>
      </c>
      <c r="C5" s="61" t="s">
        <v>127</v>
      </c>
      <c r="D5" s="61">
        <v>6</v>
      </c>
      <c r="E5" s="66">
        <v>2.34</v>
      </c>
      <c r="F5" s="63">
        <f>E5*D5</f>
        <v>14.04</v>
      </c>
    </row>
    <row r="6" spans="1:6" ht="15">
      <c r="A6" s="37"/>
      <c r="B6" s="68" t="s">
        <v>97</v>
      </c>
      <c r="C6" s="69"/>
      <c r="D6" s="69"/>
      <c r="E6" s="69"/>
      <c r="F6" s="70">
        <f>SUM(F2:F5)</f>
        <v>22.39</v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6CD19-F871-4ECA-8E9D-BA9945F53E94}">
  <dimension ref="A1:G23"/>
  <sheetViews>
    <sheetView workbookViewId="0">
      <selection activeCell="B21" sqref="B21:D21"/>
    </sheetView>
  </sheetViews>
  <sheetFormatPr defaultRowHeight="13.5"/>
  <cols>
    <col min="1" max="1" width="38.875" bestFit="1" customWidth="1"/>
    <col min="2" max="2" width="29.75" bestFit="1" customWidth="1"/>
    <col min="3" max="3" width="8.125" bestFit="1" customWidth="1"/>
    <col min="4" max="4" width="4.625" bestFit="1" customWidth="1"/>
    <col min="5" max="5" width="11.375" bestFit="1" customWidth="1"/>
    <col min="6" max="6" width="7.625" bestFit="1" customWidth="1"/>
  </cols>
  <sheetData>
    <row r="1" spans="1:6" ht="17.25">
      <c r="A1" s="71" t="s">
        <v>128</v>
      </c>
    </row>
    <row r="3" spans="1:6">
      <c r="A3" s="72" t="s">
        <v>1</v>
      </c>
      <c r="B3" s="72" t="s">
        <v>2</v>
      </c>
      <c r="C3" s="73" t="s">
        <v>129</v>
      </c>
      <c r="D3" s="72" t="s">
        <v>5</v>
      </c>
      <c r="E3" s="73" t="s">
        <v>130</v>
      </c>
      <c r="F3" s="73" t="s">
        <v>7</v>
      </c>
    </row>
    <row r="4" spans="1:6">
      <c r="A4" s="74" t="s">
        <v>90</v>
      </c>
      <c r="B4" s="74" t="s">
        <v>131</v>
      </c>
      <c r="C4" s="74">
        <v>6</v>
      </c>
      <c r="D4" s="74" t="s">
        <v>33</v>
      </c>
      <c r="E4" s="75">
        <v>1.01</v>
      </c>
      <c r="F4" s="76">
        <f>C4*E4</f>
        <v>6.0600000000000005</v>
      </c>
    </row>
    <row r="5" spans="1:6">
      <c r="A5" s="74" t="s">
        <v>90</v>
      </c>
      <c r="B5" s="74" t="s">
        <v>132</v>
      </c>
      <c r="C5" s="74">
        <v>6</v>
      </c>
      <c r="D5" s="74" t="s">
        <v>33</v>
      </c>
      <c r="E5" s="75">
        <v>0.93</v>
      </c>
      <c r="F5" s="76">
        <f>C5*E5</f>
        <v>5.58</v>
      </c>
    </row>
    <row r="6" spans="1:6">
      <c r="A6" s="74" t="s">
        <v>90</v>
      </c>
      <c r="B6" s="74" t="s">
        <v>91</v>
      </c>
      <c r="C6" s="74">
        <v>4</v>
      </c>
      <c r="D6" s="74" t="s">
        <v>33</v>
      </c>
      <c r="E6" s="77">
        <v>0.67</v>
      </c>
      <c r="F6" s="76">
        <f>C6*E6</f>
        <v>2.68</v>
      </c>
    </row>
    <row r="7" spans="1:6">
      <c r="A7" s="74" t="s">
        <v>90</v>
      </c>
      <c r="B7" s="74" t="s">
        <v>92</v>
      </c>
      <c r="C7" s="74">
        <v>4</v>
      </c>
      <c r="D7" s="74" t="s">
        <v>33</v>
      </c>
      <c r="E7" s="77">
        <v>0.61</v>
      </c>
      <c r="F7" s="76">
        <f>C7*E7</f>
        <v>2.44</v>
      </c>
    </row>
    <row r="8" spans="1:6">
      <c r="A8" s="74" t="s">
        <v>90</v>
      </c>
      <c r="B8" s="74" t="s">
        <v>75</v>
      </c>
      <c r="C8" s="74">
        <v>6</v>
      </c>
      <c r="D8" s="74" t="s">
        <v>33</v>
      </c>
      <c r="E8" s="75">
        <v>1.1200000000000001</v>
      </c>
      <c r="F8" s="76">
        <f>C8*E8</f>
        <v>6.7200000000000006</v>
      </c>
    </row>
    <row r="9" spans="1:6">
      <c r="A9" s="74" t="s">
        <v>90</v>
      </c>
      <c r="B9" s="74" t="s">
        <v>52</v>
      </c>
      <c r="C9" s="74">
        <v>6</v>
      </c>
      <c r="D9" s="74" t="s">
        <v>33</v>
      </c>
      <c r="E9" s="75">
        <v>1.1200000000000001</v>
      </c>
      <c r="F9" s="76">
        <f>C9*E9</f>
        <v>6.7200000000000006</v>
      </c>
    </row>
    <row r="10" spans="1:6">
      <c r="A10" s="74" t="s">
        <v>99</v>
      </c>
      <c r="B10" s="74" t="s">
        <v>100</v>
      </c>
      <c r="C10" s="74">
        <v>5</v>
      </c>
      <c r="D10" s="74" t="s">
        <v>16</v>
      </c>
      <c r="E10" s="75">
        <v>1.65</v>
      </c>
      <c r="F10" s="76">
        <f>C10*E10</f>
        <v>8.25</v>
      </c>
    </row>
    <row r="11" spans="1:6">
      <c r="A11" s="74" t="s">
        <v>99</v>
      </c>
      <c r="B11" s="74" t="s">
        <v>101</v>
      </c>
      <c r="C11" s="74">
        <v>2</v>
      </c>
      <c r="D11" s="74" t="s">
        <v>16</v>
      </c>
      <c r="E11" s="75">
        <v>1.65</v>
      </c>
      <c r="F11" s="76">
        <f>C11*E11</f>
        <v>3.3</v>
      </c>
    </row>
    <row r="12" spans="1:6">
      <c r="A12" s="74" t="s">
        <v>99</v>
      </c>
      <c r="B12" s="74" t="s">
        <v>45</v>
      </c>
      <c r="C12" s="74">
        <v>2</v>
      </c>
      <c r="D12" s="74" t="s">
        <v>16</v>
      </c>
      <c r="E12" s="75">
        <v>2.81</v>
      </c>
      <c r="F12" s="76">
        <f>C12*E12</f>
        <v>5.62</v>
      </c>
    </row>
    <row r="13" spans="1:6">
      <c r="A13" s="74" t="s">
        <v>99</v>
      </c>
      <c r="B13" s="74" t="s">
        <v>39</v>
      </c>
      <c r="C13" s="74">
        <v>2</v>
      </c>
      <c r="D13" s="74" t="s">
        <v>16</v>
      </c>
      <c r="E13" s="75">
        <v>5.0999999999999996</v>
      </c>
      <c r="F13" s="76">
        <f>C13*E13</f>
        <v>10.199999999999999</v>
      </c>
    </row>
    <row r="14" spans="1:6">
      <c r="A14" s="74" t="s">
        <v>99</v>
      </c>
      <c r="B14" s="74" t="s">
        <v>50</v>
      </c>
      <c r="C14" s="74">
        <v>3</v>
      </c>
      <c r="D14" s="74" t="s">
        <v>16</v>
      </c>
      <c r="E14" s="75">
        <v>1.69</v>
      </c>
      <c r="F14" s="76">
        <f>C14*E14</f>
        <v>5.07</v>
      </c>
    </row>
    <row r="15" spans="1:6">
      <c r="A15" s="74" t="s">
        <v>99</v>
      </c>
      <c r="B15" s="74" t="s">
        <v>104</v>
      </c>
      <c r="C15" s="74">
        <v>1.5</v>
      </c>
      <c r="D15" s="74" t="s">
        <v>16</v>
      </c>
      <c r="E15" s="77">
        <v>3.51</v>
      </c>
      <c r="F15" s="76">
        <f>C15*E15</f>
        <v>5.2649999999999997</v>
      </c>
    </row>
    <row r="16" spans="1:6">
      <c r="A16" s="74" t="s">
        <v>99</v>
      </c>
      <c r="B16" s="74" t="s">
        <v>78</v>
      </c>
      <c r="C16" s="74">
        <v>0.2</v>
      </c>
      <c r="D16" s="74" t="s">
        <v>16</v>
      </c>
      <c r="E16" s="75">
        <v>9.35</v>
      </c>
      <c r="F16" s="76">
        <f>C16*E16</f>
        <v>1.87</v>
      </c>
    </row>
    <row r="17" spans="1:7">
      <c r="A17" s="74" t="s">
        <v>99</v>
      </c>
      <c r="B17" s="74" t="s">
        <v>62</v>
      </c>
      <c r="C17" s="74">
        <v>0.8</v>
      </c>
      <c r="D17" s="74" t="s">
        <v>16</v>
      </c>
      <c r="E17" s="75">
        <v>4.91</v>
      </c>
      <c r="F17" s="76">
        <f>C17*E17</f>
        <v>3.9280000000000004</v>
      </c>
    </row>
    <row r="18" spans="1:7">
      <c r="A18" s="74" t="s">
        <v>99</v>
      </c>
      <c r="B18" s="74" t="s">
        <v>107</v>
      </c>
      <c r="C18" s="74">
        <v>0.5</v>
      </c>
      <c r="D18" s="74" t="s">
        <v>16</v>
      </c>
      <c r="E18" s="77">
        <v>2.64</v>
      </c>
      <c r="F18" s="76">
        <f>C18*E18</f>
        <v>1.32</v>
      </c>
    </row>
    <row r="19" spans="1:7">
      <c r="A19" s="74" t="s">
        <v>99</v>
      </c>
      <c r="B19" s="74" t="s">
        <v>108</v>
      </c>
      <c r="C19" s="74">
        <v>0.8</v>
      </c>
      <c r="D19" s="74" t="s">
        <v>16</v>
      </c>
      <c r="E19" s="75">
        <v>2.94</v>
      </c>
      <c r="F19" s="76">
        <f>C19*E19</f>
        <v>2.3519999999999999</v>
      </c>
    </row>
    <row r="20" spans="1:7">
      <c r="A20" s="74" t="s">
        <v>109</v>
      </c>
      <c r="B20" s="74" t="s">
        <v>133</v>
      </c>
      <c r="C20" s="74">
        <v>6</v>
      </c>
      <c r="D20" s="74" t="s">
        <v>55</v>
      </c>
      <c r="E20" s="75">
        <v>1.61</v>
      </c>
      <c r="F20" s="76">
        <f>C20*E20</f>
        <v>9.66</v>
      </c>
    </row>
    <row r="21" spans="1:7">
      <c r="A21" s="78" t="s">
        <v>109</v>
      </c>
      <c r="B21" s="78" t="s">
        <v>134</v>
      </c>
      <c r="C21" s="78">
        <v>7</v>
      </c>
      <c r="D21" s="78" t="s">
        <v>16</v>
      </c>
      <c r="E21" s="79"/>
      <c r="F21" s="80">
        <f>C21*E21</f>
        <v>0</v>
      </c>
      <c r="G21" s="84" t="s">
        <v>135</v>
      </c>
    </row>
    <row r="23" spans="1:7">
      <c r="E23" s="81" t="s">
        <v>136</v>
      </c>
      <c r="F23" s="82">
        <f>SUM(F4:F21)</f>
        <v>87.034999999999982</v>
      </c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EC78C-FC4C-4935-BABB-DE5FFF676348}">
  <dimension ref="A1:F11"/>
  <sheetViews>
    <sheetView workbookViewId="0">
      <selection activeCell="F21" sqref="F21"/>
    </sheetView>
  </sheetViews>
  <sheetFormatPr defaultRowHeight="13.5"/>
  <cols>
    <col min="1" max="1" width="38.625" bestFit="1" customWidth="1"/>
    <col min="2" max="2" width="16.25" bestFit="1" customWidth="1"/>
    <col min="3" max="3" width="8.125" bestFit="1" customWidth="1"/>
    <col min="4" max="4" width="4.625" bestFit="1" customWidth="1"/>
    <col min="5" max="5" width="11.375" bestFit="1" customWidth="1"/>
    <col min="6" max="6" width="7.625" bestFit="1" customWidth="1"/>
  </cols>
  <sheetData>
    <row r="1" spans="1:6" ht="17.25">
      <c r="A1" s="71" t="s">
        <v>137</v>
      </c>
    </row>
    <row r="3" spans="1:6">
      <c r="A3" s="72" t="s">
        <v>1</v>
      </c>
      <c r="B3" s="72" t="s">
        <v>2</v>
      </c>
      <c r="C3" s="73" t="s">
        <v>129</v>
      </c>
      <c r="D3" s="72" t="s">
        <v>5</v>
      </c>
      <c r="E3" s="73" t="s">
        <v>130</v>
      </c>
      <c r="F3" s="73" t="s">
        <v>7</v>
      </c>
    </row>
    <row r="4" spans="1:6">
      <c r="A4" s="74" t="s">
        <v>90</v>
      </c>
      <c r="B4" s="74" t="s">
        <v>91</v>
      </c>
      <c r="C4" s="74">
        <v>5</v>
      </c>
      <c r="D4" s="74" t="s">
        <v>33</v>
      </c>
      <c r="E4" s="77">
        <v>0.67</v>
      </c>
      <c r="F4" s="76">
        <f>C4*E4</f>
        <v>3.35</v>
      </c>
    </row>
    <row r="5" spans="1:6">
      <c r="A5" s="74" t="s">
        <v>90</v>
      </c>
      <c r="B5" s="74" t="s">
        <v>114</v>
      </c>
      <c r="C5" s="74">
        <v>4</v>
      </c>
      <c r="D5" s="74" t="s">
        <v>33</v>
      </c>
      <c r="E5" s="75">
        <v>0.55000000000000004</v>
      </c>
      <c r="F5" s="76">
        <f>C5*E5</f>
        <v>2.2000000000000002</v>
      </c>
    </row>
    <row r="6" spans="1:6">
      <c r="A6" s="74" t="s">
        <v>90</v>
      </c>
      <c r="B6" s="74" t="s">
        <v>138</v>
      </c>
      <c r="C6" s="74">
        <v>12</v>
      </c>
      <c r="D6" s="74" t="s">
        <v>33</v>
      </c>
      <c r="E6" s="75">
        <v>1.01</v>
      </c>
      <c r="F6" s="76">
        <f>C6*E6</f>
        <v>12.120000000000001</v>
      </c>
    </row>
    <row r="7" spans="1:6">
      <c r="A7" s="74" t="s">
        <v>90</v>
      </c>
      <c r="B7" s="74" t="s">
        <v>92</v>
      </c>
      <c r="C7" s="74">
        <v>4</v>
      </c>
      <c r="D7" s="74" t="s">
        <v>33</v>
      </c>
      <c r="E7" s="77">
        <v>0.61</v>
      </c>
      <c r="F7" s="76">
        <f>C7*E7</f>
        <v>2.44</v>
      </c>
    </row>
    <row r="8" spans="1:6">
      <c r="A8" s="74"/>
      <c r="B8" s="74"/>
      <c r="C8" s="74"/>
      <c r="D8" s="74"/>
      <c r="E8" s="77"/>
      <c r="F8" s="76">
        <f>C8*E8</f>
        <v>0</v>
      </c>
    </row>
    <row r="9" spans="1:6">
      <c r="A9" s="78"/>
      <c r="B9" s="78"/>
      <c r="C9" s="78"/>
      <c r="D9" s="78"/>
      <c r="E9" s="79"/>
      <c r="F9" s="80">
        <f>C9*E9</f>
        <v>0</v>
      </c>
    </row>
    <row r="11" spans="1:6">
      <c r="E11" s="81" t="s">
        <v>136</v>
      </c>
      <c r="F11" s="82">
        <f>SUM(F4:F9)</f>
        <v>20.110000000000003</v>
      </c>
    </row>
  </sheetData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A1465-E3C6-4006-A64F-BAE5B8C5F7B6}">
  <dimension ref="A1:F23"/>
  <sheetViews>
    <sheetView workbookViewId="0">
      <selection activeCell="H21" sqref="H21"/>
    </sheetView>
  </sheetViews>
  <sheetFormatPr defaultRowHeight="13.5"/>
  <cols>
    <col min="1" max="1" width="42.25" bestFit="1" customWidth="1"/>
    <col min="2" max="2" width="39.875" bestFit="1" customWidth="1"/>
    <col min="3" max="3" width="8.125" bestFit="1" customWidth="1"/>
    <col min="4" max="4" width="4.625" bestFit="1" customWidth="1"/>
    <col min="5" max="5" width="11.375" bestFit="1" customWidth="1"/>
    <col min="6" max="6" width="7.625" bestFit="1" customWidth="1"/>
  </cols>
  <sheetData>
    <row r="1" spans="1:6" ht="17.25">
      <c r="A1" s="71" t="s">
        <v>139</v>
      </c>
    </row>
    <row r="3" spans="1:6">
      <c r="A3" s="72" t="s">
        <v>1</v>
      </c>
      <c r="B3" s="72" t="s">
        <v>2</v>
      </c>
      <c r="C3" s="73" t="s">
        <v>129</v>
      </c>
      <c r="D3" s="72" t="s">
        <v>5</v>
      </c>
      <c r="E3" s="73" t="s">
        <v>130</v>
      </c>
      <c r="F3" s="73" t="s">
        <v>7</v>
      </c>
    </row>
    <row r="4" spans="1:6">
      <c r="A4" s="74" t="s">
        <v>90</v>
      </c>
      <c r="B4" s="74" t="s">
        <v>91</v>
      </c>
      <c r="C4" s="74">
        <v>5</v>
      </c>
      <c r="D4" s="74" t="s">
        <v>33</v>
      </c>
      <c r="E4" s="77">
        <v>0.67</v>
      </c>
      <c r="F4" s="76">
        <f>C4*E4</f>
        <v>3.35</v>
      </c>
    </row>
    <row r="5" spans="1:6">
      <c r="A5" s="74" t="s">
        <v>90</v>
      </c>
      <c r="B5" s="74" t="s">
        <v>114</v>
      </c>
      <c r="C5" s="74">
        <v>5</v>
      </c>
      <c r="D5" s="74" t="s">
        <v>33</v>
      </c>
      <c r="E5" s="75">
        <v>0.55000000000000004</v>
      </c>
      <c r="F5" s="76">
        <f>C5*E5</f>
        <v>2.75</v>
      </c>
    </row>
    <row r="6" spans="1:6">
      <c r="A6" s="74" t="s">
        <v>90</v>
      </c>
      <c r="B6" s="74" t="s">
        <v>115</v>
      </c>
      <c r="C6" s="74">
        <v>4</v>
      </c>
      <c r="D6" s="74" t="s">
        <v>33</v>
      </c>
      <c r="E6" s="75">
        <v>1.1200000000000001</v>
      </c>
      <c r="F6" s="76">
        <f>C6*E6</f>
        <v>4.4800000000000004</v>
      </c>
    </row>
    <row r="7" spans="1:6">
      <c r="A7" s="74" t="s">
        <v>90</v>
      </c>
      <c r="B7" s="74" t="s">
        <v>91</v>
      </c>
      <c r="C7" s="74">
        <v>4</v>
      </c>
      <c r="D7" s="74" t="s">
        <v>33</v>
      </c>
      <c r="E7" s="77">
        <v>0.67</v>
      </c>
      <c r="F7" s="76">
        <f>C7*E7</f>
        <v>2.68</v>
      </c>
    </row>
    <row r="8" spans="1:6">
      <c r="A8" s="74" t="s">
        <v>90</v>
      </c>
      <c r="B8" s="74" t="s">
        <v>75</v>
      </c>
      <c r="C8" s="74">
        <v>4</v>
      </c>
      <c r="D8" s="74" t="s">
        <v>33</v>
      </c>
      <c r="E8" s="75">
        <v>1.1200000000000001</v>
      </c>
      <c r="F8" s="76">
        <f>C8*E8</f>
        <v>4.4800000000000004</v>
      </c>
    </row>
    <row r="9" spans="1:6">
      <c r="A9" s="74" t="s">
        <v>90</v>
      </c>
      <c r="B9" s="74" t="s">
        <v>140</v>
      </c>
      <c r="C9" s="74">
        <v>4</v>
      </c>
      <c r="D9" s="74" t="s">
        <v>33</v>
      </c>
      <c r="E9" s="77">
        <v>0.81</v>
      </c>
      <c r="F9" s="76">
        <f>C9*E9</f>
        <v>3.24</v>
      </c>
    </row>
    <row r="10" spans="1:6">
      <c r="A10" s="74" t="s">
        <v>99</v>
      </c>
      <c r="B10" s="74" t="s">
        <v>100</v>
      </c>
      <c r="C10" s="74">
        <v>3</v>
      </c>
      <c r="D10" s="74" t="s">
        <v>16</v>
      </c>
      <c r="E10" s="75">
        <v>1.65</v>
      </c>
      <c r="F10" s="76">
        <f>C10*E10</f>
        <v>4.9499999999999993</v>
      </c>
    </row>
    <row r="11" spans="1:6">
      <c r="A11" s="74" t="s">
        <v>99</v>
      </c>
      <c r="B11" s="74" t="s">
        <v>106</v>
      </c>
      <c r="C11" s="74">
        <v>1</v>
      </c>
      <c r="D11" s="74" t="s">
        <v>16</v>
      </c>
      <c r="E11" s="75">
        <v>3.95</v>
      </c>
      <c r="F11" s="76">
        <f>C11*E11</f>
        <v>3.95</v>
      </c>
    </row>
    <row r="12" spans="1:6">
      <c r="A12" s="74" t="s">
        <v>99</v>
      </c>
      <c r="B12" s="74" t="s">
        <v>101</v>
      </c>
      <c r="C12" s="74">
        <v>2</v>
      </c>
      <c r="D12" s="74" t="s">
        <v>16</v>
      </c>
      <c r="E12" s="75">
        <v>1.65</v>
      </c>
      <c r="F12" s="76">
        <f>C12*E12</f>
        <v>3.3</v>
      </c>
    </row>
    <row r="13" spans="1:6">
      <c r="A13" s="74" t="s">
        <v>99</v>
      </c>
      <c r="B13" s="74" t="s">
        <v>141</v>
      </c>
      <c r="C13" s="74">
        <v>0.5</v>
      </c>
      <c r="D13" s="74" t="s">
        <v>16</v>
      </c>
      <c r="E13" s="77">
        <v>9.6</v>
      </c>
      <c r="F13" s="76">
        <f>C13*E13</f>
        <v>4.8</v>
      </c>
    </row>
    <row r="14" spans="1:6">
      <c r="A14" s="74" t="s">
        <v>99</v>
      </c>
      <c r="B14" s="74" t="s">
        <v>70</v>
      </c>
      <c r="C14" s="74">
        <v>1</v>
      </c>
      <c r="D14" s="74" t="s">
        <v>16</v>
      </c>
      <c r="E14" s="75">
        <v>7.98</v>
      </c>
      <c r="F14" s="76">
        <f>C14*E14</f>
        <v>7.98</v>
      </c>
    </row>
    <row r="15" spans="1:6">
      <c r="A15" s="74" t="s">
        <v>99</v>
      </c>
      <c r="B15" s="74" t="s">
        <v>39</v>
      </c>
      <c r="C15" s="74">
        <v>1</v>
      </c>
      <c r="D15" s="74" t="s">
        <v>16</v>
      </c>
      <c r="E15" s="75">
        <v>5.0999999999999996</v>
      </c>
      <c r="F15" s="76">
        <f>C15*E15</f>
        <v>5.0999999999999996</v>
      </c>
    </row>
    <row r="16" spans="1:6">
      <c r="A16" s="74" t="s">
        <v>99</v>
      </c>
      <c r="B16" s="74" t="s">
        <v>50</v>
      </c>
      <c r="C16" s="74">
        <v>4</v>
      </c>
      <c r="D16" s="74" t="s">
        <v>16</v>
      </c>
      <c r="E16" s="75">
        <v>1.69</v>
      </c>
      <c r="F16" s="76">
        <f>C16*E16</f>
        <v>6.76</v>
      </c>
    </row>
    <row r="17" spans="1:6">
      <c r="A17" s="74" t="s">
        <v>99</v>
      </c>
      <c r="B17" s="74" t="s">
        <v>78</v>
      </c>
      <c r="C17" s="74">
        <v>0.2</v>
      </c>
      <c r="D17" s="74" t="s">
        <v>16</v>
      </c>
      <c r="E17" s="75">
        <v>9.35</v>
      </c>
      <c r="F17" s="76">
        <f>C17*E17</f>
        <v>1.87</v>
      </c>
    </row>
    <row r="18" spans="1:6">
      <c r="A18" s="74" t="s">
        <v>99</v>
      </c>
      <c r="B18" s="74" t="s">
        <v>104</v>
      </c>
      <c r="C18" s="74">
        <v>0.5</v>
      </c>
      <c r="D18" s="74" t="s">
        <v>16</v>
      </c>
      <c r="E18" s="77">
        <v>3.51</v>
      </c>
      <c r="F18" s="76">
        <f>C18*E18</f>
        <v>1.7549999999999999</v>
      </c>
    </row>
    <row r="19" spans="1:6">
      <c r="A19" s="74" t="s">
        <v>99</v>
      </c>
      <c r="B19" s="74" t="s">
        <v>62</v>
      </c>
      <c r="C19" s="74">
        <v>0.5</v>
      </c>
      <c r="D19" s="74" t="s">
        <v>16</v>
      </c>
      <c r="E19" s="75">
        <v>4.91</v>
      </c>
      <c r="F19" s="76">
        <f>C19*E19</f>
        <v>2.4550000000000001</v>
      </c>
    </row>
    <row r="20" spans="1:6">
      <c r="A20" s="74" t="s">
        <v>99</v>
      </c>
      <c r="B20" s="74" t="s">
        <v>107</v>
      </c>
      <c r="C20" s="74">
        <v>0.3</v>
      </c>
      <c r="D20" s="74" t="s">
        <v>16</v>
      </c>
      <c r="E20" s="77">
        <v>2.64</v>
      </c>
      <c r="F20" s="76">
        <f>C20*E20</f>
        <v>0.79200000000000004</v>
      </c>
    </row>
    <row r="21" spans="1:6">
      <c r="A21" s="78" t="s">
        <v>99</v>
      </c>
      <c r="B21" s="78" t="s">
        <v>108</v>
      </c>
      <c r="C21" s="78">
        <v>0.5</v>
      </c>
      <c r="D21" s="78" t="s">
        <v>16</v>
      </c>
      <c r="E21" s="83">
        <v>2.94</v>
      </c>
      <c r="F21" s="80">
        <f>C21*E21</f>
        <v>1.47</v>
      </c>
    </row>
    <row r="23" spans="1:6">
      <c r="E23" s="81" t="s">
        <v>136</v>
      </c>
      <c r="F23" s="82">
        <f>SUM(F4:F21)</f>
        <v>66.161999999999992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5C502-D9A0-44B5-9F0A-FD0CD04C554D}">
  <dimension ref="A1:E5"/>
  <sheetViews>
    <sheetView workbookViewId="0">
      <selection activeCell="G10" sqref="G10"/>
    </sheetView>
  </sheetViews>
  <sheetFormatPr defaultRowHeight="13.5"/>
  <cols>
    <col min="1" max="1" width="14.125" customWidth="1"/>
    <col min="4" max="4" width="10.75" customWidth="1"/>
  </cols>
  <sheetData>
    <row r="1" spans="1:5" ht="15">
      <c r="A1" s="98" t="s">
        <v>87</v>
      </c>
      <c r="B1" s="98" t="s">
        <v>129</v>
      </c>
      <c r="C1" s="98" t="s">
        <v>5</v>
      </c>
      <c r="D1" s="98" t="s">
        <v>142</v>
      </c>
      <c r="E1" s="98" t="s">
        <v>97</v>
      </c>
    </row>
    <row r="2" spans="1:5">
      <c r="A2" s="99" t="s">
        <v>143</v>
      </c>
      <c r="B2" s="99">
        <v>3</v>
      </c>
      <c r="C2" s="99" t="s">
        <v>144</v>
      </c>
      <c r="D2" s="100">
        <v>0.49</v>
      </c>
      <c r="E2" s="100">
        <f>B2*D2</f>
        <v>1.47</v>
      </c>
    </row>
    <row r="3" spans="1:5" ht="33">
      <c r="A3" s="101" t="s">
        <v>145</v>
      </c>
      <c r="B3" s="99">
        <v>2</v>
      </c>
      <c r="C3" s="99" t="s">
        <v>144</v>
      </c>
      <c r="D3" s="100">
        <v>0.59</v>
      </c>
      <c r="E3" s="100">
        <f>B3*D3</f>
        <v>1.18</v>
      </c>
    </row>
    <row r="4" spans="1:5">
      <c r="A4" s="99" t="s">
        <v>146</v>
      </c>
      <c r="B4" s="99">
        <v>7</v>
      </c>
      <c r="C4" s="99" t="s">
        <v>144</v>
      </c>
      <c r="D4" s="100">
        <v>0.28999999999999998</v>
      </c>
      <c r="E4" s="100">
        <f>B4*D4</f>
        <v>2.0299999999999998</v>
      </c>
    </row>
    <row r="5" spans="1:5">
      <c r="A5" s="99" t="s">
        <v>147</v>
      </c>
      <c r="B5" s="99">
        <v>2</v>
      </c>
      <c r="C5" s="99" t="s">
        <v>144</v>
      </c>
      <c r="D5" s="100">
        <v>0.39</v>
      </c>
      <c r="E5" s="100">
        <f>B5*D5</f>
        <v>0.78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2F890-6510-4B5B-9BB0-F2C697318220}">
  <dimension ref="A1:F25"/>
  <sheetViews>
    <sheetView workbookViewId="0">
      <selection activeCell="F4" sqref="F4"/>
    </sheetView>
  </sheetViews>
  <sheetFormatPr defaultRowHeight="13.5"/>
  <cols>
    <col min="1" max="1" width="20" customWidth="1"/>
    <col min="2" max="2" width="40" customWidth="1"/>
    <col min="3" max="3" width="11.625" customWidth="1"/>
    <col min="4" max="4" width="8.375" customWidth="1"/>
    <col min="5" max="6" width="15" customWidth="1"/>
  </cols>
  <sheetData>
    <row r="1" spans="1:6" ht="21.75" customHeight="1">
      <c r="A1" s="85" t="s">
        <v>148</v>
      </c>
    </row>
    <row r="3" spans="1:6" ht="15">
      <c r="A3" s="93" t="s">
        <v>1</v>
      </c>
      <c r="B3" s="93" t="s">
        <v>2</v>
      </c>
      <c r="C3" s="94" t="s">
        <v>129</v>
      </c>
      <c r="D3" s="93" t="s">
        <v>5</v>
      </c>
      <c r="E3" s="94" t="s">
        <v>130</v>
      </c>
      <c r="F3" s="94" t="s">
        <v>7</v>
      </c>
    </row>
    <row r="4" spans="1:6">
      <c r="A4" s="90" t="s">
        <v>90</v>
      </c>
      <c r="B4" s="90" t="s">
        <v>131</v>
      </c>
      <c r="C4" s="90">
        <v>6</v>
      </c>
      <c r="D4" s="90" t="s">
        <v>33</v>
      </c>
      <c r="E4" s="91">
        <v>1.01</v>
      </c>
      <c r="F4" s="92">
        <f>C4*E4</f>
        <v>6.0600000000000005</v>
      </c>
    </row>
    <row r="5" spans="1:6">
      <c r="A5" s="86" t="s">
        <v>90</v>
      </c>
      <c r="B5" s="86" t="s">
        <v>132</v>
      </c>
      <c r="C5" s="86">
        <v>6</v>
      </c>
      <c r="D5" s="86" t="s">
        <v>33</v>
      </c>
      <c r="E5" s="87">
        <v>0.93</v>
      </c>
      <c r="F5" s="88">
        <f>C5*E5</f>
        <v>5.58</v>
      </c>
    </row>
    <row r="6" spans="1:6">
      <c r="A6" s="86" t="s">
        <v>90</v>
      </c>
      <c r="B6" s="86" t="s">
        <v>91</v>
      </c>
      <c r="C6" s="86">
        <v>4</v>
      </c>
      <c r="D6" s="86" t="s">
        <v>33</v>
      </c>
      <c r="E6" s="89">
        <v>0.67</v>
      </c>
      <c r="F6" s="88">
        <f>C6*E6</f>
        <v>2.68</v>
      </c>
    </row>
    <row r="7" spans="1:6">
      <c r="A7" s="86" t="s">
        <v>90</v>
      </c>
      <c r="B7" s="86" t="s">
        <v>92</v>
      </c>
      <c r="C7" s="86">
        <v>4</v>
      </c>
      <c r="D7" s="86" t="s">
        <v>33</v>
      </c>
      <c r="E7" s="87">
        <v>0.61</v>
      </c>
      <c r="F7" s="88">
        <f>C7*E7</f>
        <v>2.44</v>
      </c>
    </row>
    <row r="8" spans="1:6">
      <c r="A8" s="86" t="s">
        <v>90</v>
      </c>
      <c r="B8" s="86" t="s">
        <v>75</v>
      </c>
      <c r="C8" s="86">
        <v>6</v>
      </c>
      <c r="D8" s="86" t="s">
        <v>33</v>
      </c>
      <c r="E8" s="87">
        <v>1.1200000000000001</v>
      </c>
      <c r="F8" s="88">
        <f>C8*E8</f>
        <v>6.7200000000000006</v>
      </c>
    </row>
    <row r="9" spans="1:6">
      <c r="A9" s="86" t="s">
        <v>90</v>
      </c>
      <c r="B9" s="86" t="s">
        <v>149</v>
      </c>
      <c r="C9" s="86">
        <v>6</v>
      </c>
      <c r="D9" s="86" t="s">
        <v>33</v>
      </c>
      <c r="E9" s="89">
        <v>1.2</v>
      </c>
      <c r="F9" s="88">
        <f>C9*E9</f>
        <v>7.1999999999999993</v>
      </c>
    </row>
    <row r="10" spans="1:6">
      <c r="A10" s="86" t="s">
        <v>90</v>
      </c>
      <c r="B10" s="86" t="s">
        <v>52</v>
      </c>
      <c r="C10" s="86">
        <v>6</v>
      </c>
      <c r="D10" s="86" t="s">
        <v>33</v>
      </c>
      <c r="E10" s="87">
        <v>1.1200000000000001</v>
      </c>
      <c r="F10" s="88">
        <f>C10*E10</f>
        <v>6.7200000000000006</v>
      </c>
    </row>
    <row r="11" spans="1:6">
      <c r="A11" s="86" t="s">
        <v>99</v>
      </c>
      <c r="B11" s="86" t="s">
        <v>100</v>
      </c>
      <c r="C11" s="86">
        <v>5</v>
      </c>
      <c r="D11" s="86" t="s">
        <v>16</v>
      </c>
      <c r="E11" s="87">
        <v>1.64</v>
      </c>
      <c r="F11" s="88">
        <f>C11*E11</f>
        <v>8.1999999999999993</v>
      </c>
    </row>
    <row r="12" spans="1:6">
      <c r="A12" s="86" t="s">
        <v>99</v>
      </c>
      <c r="B12" s="86" t="s">
        <v>101</v>
      </c>
      <c r="C12" s="86">
        <v>2</v>
      </c>
      <c r="D12" s="86" t="s">
        <v>16</v>
      </c>
      <c r="E12" s="87">
        <v>1.54</v>
      </c>
      <c r="F12" s="88">
        <f>C12*E12</f>
        <v>3.08</v>
      </c>
    </row>
    <row r="13" spans="1:6">
      <c r="A13" s="86" t="s">
        <v>99</v>
      </c>
      <c r="B13" s="86" t="s">
        <v>45</v>
      </c>
      <c r="C13" s="86">
        <v>2</v>
      </c>
      <c r="D13" s="86" t="s">
        <v>16</v>
      </c>
      <c r="E13" s="87">
        <v>2.2200000000000002</v>
      </c>
      <c r="F13" s="88">
        <f>C13*E13</f>
        <v>4.4400000000000004</v>
      </c>
    </row>
    <row r="14" spans="1:6">
      <c r="A14" s="86" t="s">
        <v>99</v>
      </c>
      <c r="B14" s="86" t="s">
        <v>39</v>
      </c>
      <c r="C14" s="86">
        <v>2</v>
      </c>
      <c r="D14" s="86" t="s">
        <v>16</v>
      </c>
      <c r="E14" s="87">
        <v>4.7699999999999996</v>
      </c>
      <c r="F14" s="88">
        <f>C14*E14</f>
        <v>9.5399999999999991</v>
      </c>
    </row>
    <row r="15" spans="1:6">
      <c r="A15" s="86" t="s">
        <v>99</v>
      </c>
      <c r="B15" s="86" t="s">
        <v>50</v>
      </c>
      <c r="C15" s="86">
        <v>3</v>
      </c>
      <c r="D15" s="86" t="s">
        <v>16</v>
      </c>
      <c r="E15" s="87">
        <v>1.65</v>
      </c>
      <c r="F15" s="88">
        <f>C15*E15</f>
        <v>4.9499999999999993</v>
      </c>
    </row>
    <row r="16" spans="1:6">
      <c r="A16" s="86" t="s">
        <v>99</v>
      </c>
      <c r="B16" s="86" t="s">
        <v>104</v>
      </c>
      <c r="C16" s="86">
        <v>1.5</v>
      </c>
      <c r="D16" s="86" t="s">
        <v>16</v>
      </c>
      <c r="E16" s="87">
        <v>3.29</v>
      </c>
      <c r="F16" s="88">
        <f>C16*E16</f>
        <v>4.9350000000000005</v>
      </c>
    </row>
    <row r="17" spans="1:6">
      <c r="A17" s="86" t="s">
        <v>99</v>
      </c>
      <c r="B17" s="86" t="s">
        <v>78</v>
      </c>
      <c r="C17" s="86">
        <v>0.2</v>
      </c>
      <c r="D17" s="86" t="s">
        <v>16</v>
      </c>
      <c r="E17" s="87">
        <v>8.3699999999999992</v>
      </c>
      <c r="F17" s="88">
        <f>C17*E17</f>
        <v>1.6739999999999999</v>
      </c>
    </row>
    <row r="18" spans="1:6">
      <c r="A18" s="86" t="s">
        <v>99</v>
      </c>
      <c r="B18" s="86" t="s">
        <v>62</v>
      </c>
      <c r="C18" s="86">
        <v>0.8</v>
      </c>
      <c r="D18" s="86" t="s">
        <v>16</v>
      </c>
      <c r="E18" s="87">
        <v>4.78</v>
      </c>
      <c r="F18" s="88">
        <f>C18*E18</f>
        <v>3.8240000000000003</v>
      </c>
    </row>
    <row r="19" spans="1:6">
      <c r="A19" s="86" t="s">
        <v>99</v>
      </c>
      <c r="B19" s="86" t="s">
        <v>107</v>
      </c>
      <c r="C19" s="86">
        <v>0.5</v>
      </c>
      <c r="D19" s="86" t="s">
        <v>16</v>
      </c>
      <c r="E19" s="89">
        <v>2.64</v>
      </c>
      <c r="F19" s="88">
        <f>C19*E19</f>
        <v>1.32</v>
      </c>
    </row>
    <row r="20" spans="1:6">
      <c r="A20" s="86" t="s">
        <v>99</v>
      </c>
      <c r="B20" s="86" t="s">
        <v>108</v>
      </c>
      <c r="C20" s="86">
        <v>0.8</v>
      </c>
      <c r="D20" s="86" t="s">
        <v>16</v>
      </c>
      <c r="E20" s="87">
        <v>3.07</v>
      </c>
      <c r="F20" s="88">
        <f>C20*E20</f>
        <v>2.456</v>
      </c>
    </row>
    <row r="21" spans="1:6">
      <c r="A21" s="86" t="s">
        <v>109</v>
      </c>
      <c r="B21" s="86" t="s">
        <v>133</v>
      </c>
      <c r="C21" s="86">
        <v>10</v>
      </c>
      <c r="D21" s="86" t="s">
        <v>55</v>
      </c>
      <c r="E21" s="87">
        <v>0.81</v>
      </c>
      <c r="F21" s="88">
        <f>C21*E21</f>
        <v>8.1000000000000014</v>
      </c>
    </row>
    <row r="22" spans="1:6">
      <c r="A22" s="86" t="s">
        <v>109</v>
      </c>
      <c r="B22" s="86" t="s">
        <v>150</v>
      </c>
      <c r="C22" s="86">
        <v>6</v>
      </c>
      <c r="D22" s="86" t="s">
        <v>55</v>
      </c>
      <c r="E22" s="89">
        <v>1.78</v>
      </c>
      <c r="F22" s="88">
        <f>C22*E22</f>
        <v>10.68</v>
      </c>
    </row>
    <row r="23" spans="1:6">
      <c r="A23" s="86" t="s">
        <v>109</v>
      </c>
      <c r="B23" s="86" t="s">
        <v>151</v>
      </c>
      <c r="C23" s="86">
        <v>6</v>
      </c>
      <c r="D23" s="86" t="s">
        <v>55</v>
      </c>
      <c r="E23" s="87">
        <v>1.99</v>
      </c>
      <c r="F23" s="88">
        <f>C23*E23</f>
        <v>11.94</v>
      </c>
    </row>
    <row r="25" spans="1:6">
      <c r="E25" s="95" t="s">
        <v>136</v>
      </c>
      <c r="F25" s="96">
        <f>SUM(F4:F23)</f>
        <v>112.53900000000002</v>
      </c>
    </row>
  </sheetData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BCA0-4FD6-4F94-BC59-8486EC1B5AA1}">
  <dimension ref="A1:F10"/>
  <sheetViews>
    <sheetView workbookViewId="0">
      <selection activeCell="F16" sqref="F16"/>
    </sheetView>
  </sheetViews>
  <sheetFormatPr defaultRowHeight="13.5"/>
  <cols>
    <col min="1" max="1" width="20" customWidth="1"/>
    <col min="2" max="2" width="40" customWidth="1"/>
    <col min="3" max="3" width="11.625" customWidth="1"/>
    <col min="4" max="4" width="8.375" customWidth="1"/>
    <col min="5" max="6" width="15" customWidth="1"/>
  </cols>
  <sheetData>
    <row r="1" spans="1:6" ht="18.75">
      <c r="A1" s="85" t="s">
        <v>152</v>
      </c>
    </row>
    <row r="3" spans="1:6" ht="15">
      <c r="A3" s="93" t="s">
        <v>1</v>
      </c>
      <c r="B3" s="93" t="s">
        <v>2</v>
      </c>
      <c r="C3" s="94" t="s">
        <v>129</v>
      </c>
      <c r="D3" s="93" t="s">
        <v>5</v>
      </c>
      <c r="E3" s="94" t="s">
        <v>130</v>
      </c>
      <c r="F3" s="94" t="s">
        <v>7</v>
      </c>
    </row>
    <row r="4" spans="1:6">
      <c r="A4" s="90" t="s">
        <v>90</v>
      </c>
      <c r="B4" s="90" t="s">
        <v>91</v>
      </c>
      <c r="C4" s="90">
        <v>5</v>
      </c>
      <c r="D4" s="90" t="s">
        <v>33</v>
      </c>
      <c r="E4" s="97">
        <v>0.67</v>
      </c>
      <c r="F4" s="92">
        <f>C4*E4</f>
        <v>3.35</v>
      </c>
    </row>
    <row r="5" spans="1:6">
      <c r="A5" s="86" t="s">
        <v>90</v>
      </c>
      <c r="B5" s="86" t="s">
        <v>149</v>
      </c>
      <c r="C5" s="86">
        <v>6</v>
      </c>
      <c r="D5" s="86" t="s">
        <v>33</v>
      </c>
      <c r="E5" s="89">
        <v>1.2</v>
      </c>
      <c r="F5" s="88">
        <f>C5*E5</f>
        <v>7.1999999999999993</v>
      </c>
    </row>
    <row r="6" spans="1:6">
      <c r="A6" s="86" t="s">
        <v>90</v>
      </c>
      <c r="B6" s="86" t="s">
        <v>114</v>
      </c>
      <c r="C6" s="86">
        <v>4</v>
      </c>
      <c r="D6" s="86" t="s">
        <v>33</v>
      </c>
      <c r="E6" s="87">
        <v>0.67</v>
      </c>
      <c r="F6" s="88">
        <f>C6*E6</f>
        <v>2.68</v>
      </c>
    </row>
    <row r="7" spans="1:6">
      <c r="A7" s="86" t="s">
        <v>90</v>
      </c>
      <c r="B7" s="86" t="s">
        <v>92</v>
      </c>
      <c r="C7" s="86">
        <v>4</v>
      </c>
      <c r="D7" s="86" t="s">
        <v>33</v>
      </c>
      <c r="E7" s="87">
        <v>0.61</v>
      </c>
      <c r="F7" s="88">
        <f>C7*E7</f>
        <v>2.44</v>
      </c>
    </row>
    <row r="8" spans="1:6">
      <c r="A8" s="86" t="s">
        <v>90</v>
      </c>
      <c r="B8" s="86" t="s">
        <v>149</v>
      </c>
      <c r="C8" s="86">
        <v>6</v>
      </c>
      <c r="D8" s="86" t="s">
        <v>33</v>
      </c>
      <c r="E8" s="89">
        <v>1.2</v>
      </c>
      <c r="F8" s="88">
        <f>C8*E8</f>
        <v>7.1999999999999993</v>
      </c>
    </row>
    <row r="10" spans="1:6">
      <c r="E10" s="95" t="s">
        <v>136</v>
      </c>
      <c r="F10" s="96">
        <f>SUM(F4:F8)</f>
        <v>22.869999999999997</v>
      </c>
    </row>
  </sheetData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2B076-3E0B-4F8E-9E06-5D3848701719}">
  <dimension ref="A1:E5"/>
  <sheetViews>
    <sheetView workbookViewId="0">
      <selection activeCell="E9" sqref="E9"/>
    </sheetView>
  </sheetViews>
  <sheetFormatPr defaultRowHeight="13.5"/>
  <cols>
    <col min="1" max="1" width="14.125" customWidth="1"/>
    <col min="4" max="4" width="11.25" customWidth="1"/>
  </cols>
  <sheetData>
    <row r="1" spans="1:5" ht="15">
      <c r="A1" s="98" t="s">
        <v>87</v>
      </c>
      <c r="B1" s="98" t="s">
        <v>129</v>
      </c>
      <c r="C1" s="98" t="s">
        <v>5</v>
      </c>
      <c r="D1" s="98" t="s">
        <v>142</v>
      </c>
      <c r="E1" s="98" t="s">
        <v>97</v>
      </c>
    </row>
    <row r="2" spans="1:5">
      <c r="A2" s="99" t="s">
        <v>143</v>
      </c>
      <c r="B2" s="99">
        <v>4</v>
      </c>
      <c r="C2" s="99" t="s">
        <v>144</v>
      </c>
      <c r="D2" s="100">
        <v>0.49</v>
      </c>
      <c r="E2" s="100">
        <f>B2*D2</f>
        <v>1.96</v>
      </c>
    </row>
    <row r="3" spans="1:5" ht="16.5">
      <c r="A3" s="101" t="s">
        <v>153</v>
      </c>
      <c r="B3" s="99">
        <v>3</v>
      </c>
      <c r="C3" s="99" t="s">
        <v>144</v>
      </c>
      <c r="D3" s="100">
        <v>0.44</v>
      </c>
      <c r="E3" s="100">
        <f>B3*D3</f>
        <v>1.32</v>
      </c>
    </row>
    <row r="4" spans="1:5">
      <c r="A4" s="99" t="s">
        <v>154</v>
      </c>
      <c r="B4" s="99">
        <v>1</v>
      </c>
      <c r="C4" s="99" t="s">
        <v>144</v>
      </c>
      <c r="D4" s="100">
        <v>1.29</v>
      </c>
      <c r="E4" s="100">
        <f>B4*D4</f>
        <v>1.29</v>
      </c>
    </row>
    <row r="5" spans="1:5">
      <c r="A5" s="99" t="s">
        <v>155</v>
      </c>
      <c r="B5" s="99">
        <v>2</v>
      </c>
      <c r="C5" s="99" t="s">
        <v>144</v>
      </c>
      <c r="D5" s="100">
        <v>0.79</v>
      </c>
      <c r="E5" s="100">
        <f>B5*D5</f>
        <v>1.58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98808-D075-40BF-B728-294EE8064F30}">
  <dimension ref="A1:E4"/>
  <sheetViews>
    <sheetView workbookViewId="0">
      <selection activeCell="D13" sqref="D13"/>
    </sheetView>
  </sheetViews>
  <sheetFormatPr defaultRowHeight="13.5"/>
  <cols>
    <col min="1" max="1" width="14.125" customWidth="1"/>
    <col min="4" max="4" width="11.25" customWidth="1"/>
  </cols>
  <sheetData>
    <row r="1" spans="1:5" ht="15">
      <c r="A1" s="98" t="s">
        <v>87</v>
      </c>
      <c r="B1" s="98" t="s">
        <v>129</v>
      </c>
      <c r="C1" s="98" t="s">
        <v>5</v>
      </c>
      <c r="D1" s="98" t="s">
        <v>142</v>
      </c>
      <c r="E1" s="98" t="s">
        <v>97</v>
      </c>
    </row>
    <row r="2" spans="1:5">
      <c r="A2" s="99" t="s">
        <v>146</v>
      </c>
      <c r="B2" s="99">
        <v>6</v>
      </c>
      <c r="C2" s="99" t="s">
        <v>144</v>
      </c>
      <c r="D2" s="100">
        <v>0.28999999999999998</v>
      </c>
      <c r="E2" s="100">
        <f>B2*D2</f>
        <v>1.7399999999999998</v>
      </c>
    </row>
    <row r="3" spans="1:5" ht="33">
      <c r="A3" s="101" t="s">
        <v>156</v>
      </c>
      <c r="B3" s="99">
        <v>2</v>
      </c>
      <c r="C3" s="99" t="s">
        <v>144</v>
      </c>
      <c r="D3" s="100">
        <v>0.69</v>
      </c>
      <c r="E3" s="100">
        <f>B3*D3</f>
        <v>1.38</v>
      </c>
    </row>
    <row r="4" spans="1:5">
      <c r="A4" s="99" t="s">
        <v>49</v>
      </c>
      <c r="B4" s="99">
        <v>2</v>
      </c>
      <c r="C4" s="99" t="s">
        <v>144</v>
      </c>
      <c r="D4" s="100">
        <v>0.49</v>
      </c>
      <c r="E4" s="100">
        <f>B4*D4</f>
        <v>0.98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E3A58-3A46-4E1B-84D9-EFE62FB2CB3F}">
  <dimension ref="A1:F24"/>
  <sheetViews>
    <sheetView workbookViewId="0">
      <selection activeCell="H21" sqref="H21"/>
    </sheetView>
  </sheetViews>
  <sheetFormatPr defaultRowHeight="13.5"/>
  <cols>
    <col min="1" max="1" width="20" customWidth="1"/>
    <col min="2" max="2" width="40" customWidth="1"/>
    <col min="3" max="3" width="11.625" customWidth="1"/>
    <col min="4" max="4" width="8.375" customWidth="1"/>
    <col min="5" max="6" width="15" customWidth="1"/>
  </cols>
  <sheetData>
    <row r="1" spans="1:6" ht="21.75" customHeight="1">
      <c r="A1" s="85" t="s">
        <v>157</v>
      </c>
    </row>
    <row r="3" spans="1:6" ht="15">
      <c r="A3" s="102" t="s">
        <v>1</v>
      </c>
      <c r="B3" s="102" t="s">
        <v>2</v>
      </c>
      <c r="C3" s="103" t="s">
        <v>129</v>
      </c>
      <c r="D3" s="102" t="s">
        <v>5</v>
      </c>
      <c r="E3" s="103" t="s">
        <v>130</v>
      </c>
      <c r="F3" s="103" t="s">
        <v>7</v>
      </c>
    </row>
    <row r="4" spans="1:6">
      <c r="A4" s="86" t="s">
        <v>90</v>
      </c>
      <c r="B4" s="86" t="s">
        <v>131</v>
      </c>
      <c r="C4" s="86">
        <v>6</v>
      </c>
      <c r="D4" s="86" t="s">
        <v>33</v>
      </c>
      <c r="E4" s="87">
        <v>1.01</v>
      </c>
      <c r="F4" s="88">
        <f>C4*E4</f>
        <v>6.0600000000000005</v>
      </c>
    </row>
    <row r="5" spans="1:6">
      <c r="A5" s="86" t="s">
        <v>90</v>
      </c>
      <c r="B5" s="86" t="s">
        <v>132</v>
      </c>
      <c r="C5" s="86">
        <v>6</v>
      </c>
      <c r="D5" s="86" t="s">
        <v>33</v>
      </c>
      <c r="E5" s="87">
        <v>0.93</v>
      </c>
      <c r="F5" s="88">
        <f>C5*E5</f>
        <v>5.58</v>
      </c>
    </row>
    <row r="6" spans="1:6">
      <c r="A6" s="86" t="s">
        <v>90</v>
      </c>
      <c r="B6" s="86" t="s">
        <v>91</v>
      </c>
      <c r="C6" s="86">
        <v>4</v>
      </c>
      <c r="D6" s="86" t="s">
        <v>33</v>
      </c>
      <c r="E6" s="87">
        <v>0.67</v>
      </c>
      <c r="F6" s="88">
        <f>C6*E6</f>
        <v>2.68</v>
      </c>
    </row>
    <row r="7" spans="1:6">
      <c r="A7" s="86" t="s">
        <v>90</v>
      </c>
      <c r="B7" s="86" t="s">
        <v>92</v>
      </c>
      <c r="C7" s="86">
        <v>4</v>
      </c>
      <c r="D7" s="86" t="s">
        <v>33</v>
      </c>
      <c r="E7" s="87">
        <v>0.61</v>
      </c>
      <c r="F7" s="88">
        <f>C7*E7</f>
        <v>2.44</v>
      </c>
    </row>
    <row r="8" spans="1:6">
      <c r="A8" s="86" t="s">
        <v>90</v>
      </c>
      <c r="B8" s="86" t="s">
        <v>75</v>
      </c>
      <c r="C8" s="86">
        <v>6</v>
      </c>
      <c r="D8" s="86" t="s">
        <v>33</v>
      </c>
      <c r="E8" s="87">
        <v>1.1200000000000001</v>
      </c>
      <c r="F8" s="88">
        <f>C8*E8</f>
        <v>6.7200000000000006</v>
      </c>
    </row>
    <row r="9" spans="1:6">
      <c r="A9" s="86" t="s">
        <v>90</v>
      </c>
      <c r="B9" s="86" t="s">
        <v>149</v>
      </c>
      <c r="C9" s="86">
        <v>6</v>
      </c>
      <c r="D9" s="86" t="s">
        <v>33</v>
      </c>
      <c r="E9" s="89">
        <v>1.2</v>
      </c>
      <c r="F9" s="88">
        <f>C9*E9</f>
        <v>7.1999999999999993</v>
      </c>
    </row>
    <row r="10" spans="1:6">
      <c r="A10" s="86" t="s">
        <v>90</v>
      </c>
      <c r="B10" s="86" t="s">
        <v>52</v>
      </c>
      <c r="C10" s="86">
        <v>6</v>
      </c>
      <c r="D10" s="86" t="s">
        <v>33</v>
      </c>
      <c r="E10" s="87">
        <v>1.1200000000000001</v>
      </c>
      <c r="F10" s="88">
        <f>C10*E10</f>
        <v>6.7200000000000006</v>
      </c>
    </row>
    <row r="11" spans="1:6">
      <c r="A11" s="86" t="s">
        <v>99</v>
      </c>
      <c r="B11" s="86" t="s">
        <v>100</v>
      </c>
      <c r="C11" s="86">
        <v>5</v>
      </c>
      <c r="D11" s="86" t="s">
        <v>16</v>
      </c>
      <c r="E11" s="87">
        <v>1.64</v>
      </c>
      <c r="F11" s="88">
        <f>C11*E11</f>
        <v>8.1999999999999993</v>
      </c>
    </row>
    <row r="12" spans="1:6">
      <c r="A12" s="86" t="s">
        <v>99</v>
      </c>
      <c r="B12" s="86" t="s">
        <v>101</v>
      </c>
      <c r="C12" s="86">
        <v>2</v>
      </c>
      <c r="D12" s="86" t="s">
        <v>16</v>
      </c>
      <c r="E12" s="87">
        <v>1.54</v>
      </c>
      <c r="F12" s="88">
        <f>C12*E12</f>
        <v>3.08</v>
      </c>
    </row>
    <row r="13" spans="1:6">
      <c r="A13" s="86" t="s">
        <v>99</v>
      </c>
      <c r="B13" s="86" t="s">
        <v>45</v>
      </c>
      <c r="C13" s="86">
        <v>2</v>
      </c>
      <c r="D13" s="86" t="s">
        <v>16</v>
      </c>
      <c r="E13" s="87">
        <v>2.2200000000000002</v>
      </c>
      <c r="F13" s="88">
        <f>C13*E13</f>
        <v>4.4400000000000004</v>
      </c>
    </row>
    <row r="14" spans="1:6">
      <c r="A14" s="86" t="s">
        <v>99</v>
      </c>
      <c r="B14" s="86" t="s">
        <v>39</v>
      </c>
      <c r="C14" s="86">
        <v>2</v>
      </c>
      <c r="D14" s="86" t="s">
        <v>16</v>
      </c>
      <c r="E14" s="87">
        <v>4.7699999999999996</v>
      </c>
      <c r="F14" s="88">
        <f>C14*E14</f>
        <v>9.5399999999999991</v>
      </c>
    </row>
    <row r="15" spans="1:6">
      <c r="A15" s="86" t="s">
        <v>99</v>
      </c>
      <c r="B15" s="86" t="s">
        <v>50</v>
      </c>
      <c r="C15" s="86">
        <v>3</v>
      </c>
      <c r="D15" s="86" t="s">
        <v>16</v>
      </c>
      <c r="E15" s="87">
        <v>1.65</v>
      </c>
      <c r="F15" s="88">
        <f>C15*E15</f>
        <v>4.9499999999999993</v>
      </c>
    </row>
    <row r="16" spans="1:6">
      <c r="A16" s="86" t="s">
        <v>99</v>
      </c>
      <c r="B16" s="86" t="s">
        <v>104</v>
      </c>
      <c r="C16" s="86">
        <v>1.5</v>
      </c>
      <c r="D16" s="86" t="s">
        <v>16</v>
      </c>
      <c r="E16" s="87">
        <v>3.29</v>
      </c>
      <c r="F16" s="88">
        <f>C16*E16</f>
        <v>4.9350000000000005</v>
      </c>
    </row>
    <row r="17" spans="1:6">
      <c r="A17" s="86" t="s">
        <v>99</v>
      </c>
      <c r="B17" s="86" t="s">
        <v>78</v>
      </c>
      <c r="C17" s="86">
        <v>0.2</v>
      </c>
      <c r="D17" s="86" t="s">
        <v>16</v>
      </c>
      <c r="E17" s="87">
        <v>8.3699999999999992</v>
      </c>
      <c r="F17" s="88">
        <f>C17*E17</f>
        <v>1.6739999999999999</v>
      </c>
    </row>
    <row r="18" spans="1:6">
      <c r="A18" s="86" t="s">
        <v>99</v>
      </c>
      <c r="B18" s="86" t="s">
        <v>62</v>
      </c>
      <c r="C18" s="86">
        <v>0.8</v>
      </c>
      <c r="D18" s="86" t="s">
        <v>16</v>
      </c>
      <c r="E18" s="87">
        <v>4.78</v>
      </c>
      <c r="F18" s="88">
        <f>C18*E18</f>
        <v>3.8240000000000003</v>
      </c>
    </row>
    <row r="19" spans="1:6">
      <c r="A19" s="86" t="s">
        <v>99</v>
      </c>
      <c r="B19" s="86" t="s">
        <v>107</v>
      </c>
      <c r="C19" s="86">
        <v>0.5</v>
      </c>
      <c r="D19" s="86" t="s">
        <v>16</v>
      </c>
      <c r="E19" s="89">
        <v>2.64</v>
      </c>
      <c r="F19" s="88">
        <f>C19*E19</f>
        <v>1.32</v>
      </c>
    </row>
    <row r="20" spans="1:6">
      <c r="A20" s="86" t="s">
        <v>99</v>
      </c>
      <c r="B20" s="86" t="s">
        <v>108</v>
      </c>
      <c r="C20" s="86">
        <v>0.8</v>
      </c>
      <c r="D20" s="86" t="s">
        <v>16</v>
      </c>
      <c r="E20" s="87">
        <v>3.07</v>
      </c>
      <c r="F20" s="88">
        <f>C20*E20</f>
        <v>2.456</v>
      </c>
    </row>
    <row r="21" spans="1:6">
      <c r="A21" s="86" t="s">
        <v>109</v>
      </c>
      <c r="B21" s="86" t="s">
        <v>110</v>
      </c>
      <c r="C21" s="86">
        <v>6</v>
      </c>
      <c r="D21" s="86" t="s">
        <v>55</v>
      </c>
      <c r="E21" s="87">
        <v>1.44</v>
      </c>
      <c r="F21" s="88">
        <f>C21*E21</f>
        <v>8.64</v>
      </c>
    </row>
    <row r="22" spans="1:6">
      <c r="A22" s="86" t="s">
        <v>158</v>
      </c>
      <c r="B22" s="86" t="s">
        <v>159</v>
      </c>
      <c r="C22" s="86">
        <v>1</v>
      </c>
      <c r="D22" s="86" t="s">
        <v>33</v>
      </c>
      <c r="E22" s="89">
        <v>5</v>
      </c>
      <c r="F22" s="88">
        <f>C22*E22</f>
        <v>5</v>
      </c>
    </row>
    <row r="24" spans="1:6">
      <c r="E24" s="95" t="s">
        <v>136</v>
      </c>
      <c r="F24" s="96">
        <f>SUM(F4:F22)</f>
        <v>95.459000000000003</v>
      </c>
    </row>
  </sheetData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4D059-016B-496D-8E78-D4D725F33A6B}">
  <dimension ref="A1:F10"/>
  <sheetViews>
    <sheetView workbookViewId="0">
      <selection activeCell="F33" sqref="F33"/>
    </sheetView>
  </sheetViews>
  <sheetFormatPr defaultRowHeight="13.5"/>
  <cols>
    <col min="1" max="1" width="20" customWidth="1"/>
    <col min="2" max="2" width="40" customWidth="1"/>
    <col min="3" max="3" width="11.625" customWidth="1"/>
    <col min="4" max="4" width="8.375" customWidth="1"/>
    <col min="5" max="6" width="15" customWidth="1"/>
  </cols>
  <sheetData>
    <row r="1" spans="1:6" ht="21.75" customHeight="1">
      <c r="A1" s="85" t="s">
        <v>160</v>
      </c>
    </row>
    <row r="3" spans="1:6" ht="15">
      <c r="A3" s="102" t="s">
        <v>1</v>
      </c>
      <c r="B3" s="102" t="s">
        <v>2</v>
      </c>
      <c r="C3" s="103" t="s">
        <v>129</v>
      </c>
      <c r="D3" s="102" t="s">
        <v>5</v>
      </c>
      <c r="E3" s="103" t="s">
        <v>130</v>
      </c>
      <c r="F3" s="103" t="s">
        <v>7</v>
      </c>
    </row>
    <row r="4" spans="1:6">
      <c r="A4" s="86" t="s">
        <v>90</v>
      </c>
      <c r="B4" s="86" t="s">
        <v>91</v>
      </c>
      <c r="C4" s="86">
        <v>5</v>
      </c>
      <c r="D4" s="86" t="s">
        <v>33</v>
      </c>
      <c r="E4" s="87">
        <v>0.67</v>
      </c>
      <c r="F4" s="88">
        <f>C4*E4</f>
        <v>3.35</v>
      </c>
    </row>
    <row r="5" spans="1:6">
      <c r="A5" s="86" t="s">
        <v>90</v>
      </c>
      <c r="B5" s="86" t="s">
        <v>149</v>
      </c>
      <c r="C5" s="86">
        <v>6</v>
      </c>
      <c r="D5" s="86" t="s">
        <v>33</v>
      </c>
      <c r="E5" s="89">
        <v>1.2</v>
      </c>
      <c r="F5" s="88">
        <f>C5*E5</f>
        <v>7.1999999999999993</v>
      </c>
    </row>
    <row r="6" spans="1:6">
      <c r="A6" s="86" t="s">
        <v>90</v>
      </c>
      <c r="B6" s="86" t="s">
        <v>114</v>
      </c>
      <c r="C6" s="86">
        <v>4</v>
      </c>
      <c r="D6" s="86" t="s">
        <v>33</v>
      </c>
      <c r="E6" s="87">
        <v>0.6</v>
      </c>
      <c r="F6" s="88">
        <f>C6*E6</f>
        <v>2.4</v>
      </c>
    </row>
    <row r="7" spans="1:6">
      <c r="A7" s="86" t="s">
        <v>90</v>
      </c>
      <c r="B7" s="86" t="s">
        <v>92</v>
      </c>
      <c r="C7" s="86">
        <v>4</v>
      </c>
      <c r="D7" s="86" t="s">
        <v>33</v>
      </c>
      <c r="E7" s="87">
        <v>0.61</v>
      </c>
      <c r="F7" s="88">
        <f>C7*E7</f>
        <v>2.44</v>
      </c>
    </row>
    <row r="8" spans="1:6">
      <c r="A8" s="86" t="s">
        <v>90</v>
      </c>
      <c r="B8" s="86" t="s">
        <v>149</v>
      </c>
      <c r="C8" s="86">
        <v>6</v>
      </c>
      <c r="D8" s="86" t="s">
        <v>33</v>
      </c>
      <c r="E8" s="89">
        <v>1.2</v>
      </c>
      <c r="F8" s="88">
        <f>C8*E8</f>
        <v>7.1999999999999993</v>
      </c>
    </row>
    <row r="10" spans="1:6">
      <c r="A10" s="86"/>
      <c r="B10" s="86"/>
      <c r="C10" s="86"/>
      <c r="D10" s="86"/>
      <c r="E10" s="95" t="s">
        <v>136</v>
      </c>
      <c r="F10" s="96">
        <f>SUM(F4:F8)</f>
        <v>22.589999999999996</v>
      </c>
    </row>
  </sheetData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C9371-1DBD-4B29-A521-AC1A6F1619B7}">
  <dimension ref="A1:F21"/>
  <sheetViews>
    <sheetView workbookViewId="0">
      <selection activeCell="H13" sqref="H13"/>
    </sheetView>
  </sheetViews>
  <sheetFormatPr defaultRowHeight="13.5"/>
  <cols>
    <col min="1" max="1" width="20" customWidth="1"/>
    <col min="2" max="2" width="40" customWidth="1"/>
    <col min="3" max="3" width="11.625" customWidth="1"/>
    <col min="4" max="4" width="8.375" customWidth="1"/>
    <col min="5" max="6" width="15" customWidth="1"/>
  </cols>
  <sheetData>
    <row r="1" spans="1:6" ht="21.75" customHeight="1">
      <c r="A1" s="85" t="s">
        <v>161</v>
      </c>
    </row>
    <row r="3" spans="1:6" ht="15">
      <c r="A3" s="102" t="s">
        <v>1</v>
      </c>
      <c r="B3" s="102" t="s">
        <v>2</v>
      </c>
      <c r="C3" s="103" t="s">
        <v>129</v>
      </c>
      <c r="D3" s="102" t="s">
        <v>5</v>
      </c>
      <c r="E3" s="103" t="s">
        <v>130</v>
      </c>
      <c r="F3" s="103" t="s">
        <v>7</v>
      </c>
    </row>
    <row r="4" spans="1:6">
      <c r="A4" s="86" t="s">
        <v>90</v>
      </c>
      <c r="B4" s="86" t="s">
        <v>91</v>
      </c>
      <c r="C4" s="86">
        <v>7</v>
      </c>
      <c r="D4" s="86" t="s">
        <v>33</v>
      </c>
      <c r="E4" s="87">
        <v>0.67</v>
      </c>
      <c r="F4" s="88">
        <f>C4*E4</f>
        <v>4.6900000000000004</v>
      </c>
    </row>
    <row r="5" spans="1:6">
      <c r="A5" s="86" t="s">
        <v>90</v>
      </c>
      <c r="B5" s="86" t="s">
        <v>114</v>
      </c>
      <c r="C5" s="86">
        <v>7</v>
      </c>
      <c r="D5" s="86" t="s">
        <v>33</v>
      </c>
      <c r="E5" s="87">
        <v>0.6</v>
      </c>
      <c r="F5" s="88">
        <f>C5*E5</f>
        <v>4.2</v>
      </c>
    </row>
    <row r="6" spans="1:6">
      <c r="A6" s="86" t="s">
        <v>90</v>
      </c>
      <c r="B6" s="86" t="s">
        <v>149</v>
      </c>
      <c r="C6" s="86">
        <v>7</v>
      </c>
      <c r="D6" s="86" t="s">
        <v>33</v>
      </c>
      <c r="E6" s="89">
        <v>1.2</v>
      </c>
      <c r="F6" s="88">
        <f>C6*E6</f>
        <v>8.4</v>
      </c>
    </row>
    <row r="7" spans="1:6">
      <c r="A7" s="86" t="s">
        <v>90</v>
      </c>
      <c r="B7" s="86" t="s">
        <v>115</v>
      </c>
      <c r="C7" s="86">
        <v>7</v>
      </c>
      <c r="D7" s="86" t="s">
        <v>33</v>
      </c>
      <c r="E7" s="87">
        <v>1.1200000000000001</v>
      </c>
      <c r="F7" s="88">
        <f>C7*E7</f>
        <v>7.8400000000000007</v>
      </c>
    </row>
    <row r="8" spans="1:6">
      <c r="A8" s="86" t="s">
        <v>99</v>
      </c>
      <c r="B8" s="86" t="s">
        <v>100</v>
      </c>
      <c r="C8" s="86">
        <v>3</v>
      </c>
      <c r="D8" s="86" t="s">
        <v>16</v>
      </c>
      <c r="E8" s="87">
        <v>1.64</v>
      </c>
      <c r="F8" s="88">
        <f>C8*E8</f>
        <v>4.92</v>
      </c>
    </row>
    <row r="9" spans="1:6">
      <c r="A9" s="86" t="s">
        <v>99</v>
      </c>
      <c r="B9" s="86" t="s">
        <v>162</v>
      </c>
      <c r="C9" s="86">
        <v>1</v>
      </c>
      <c r="D9" s="86" t="s">
        <v>16</v>
      </c>
      <c r="E9" s="89">
        <v>3.95</v>
      </c>
      <c r="F9" s="88">
        <f>C9*E9</f>
        <v>3.95</v>
      </c>
    </row>
    <row r="10" spans="1:6">
      <c r="A10" s="86" t="s">
        <v>99</v>
      </c>
      <c r="B10" s="86" t="s">
        <v>101</v>
      </c>
      <c r="C10" s="86">
        <v>2</v>
      </c>
      <c r="D10" s="86" t="s">
        <v>16</v>
      </c>
      <c r="E10" s="87">
        <v>1.54</v>
      </c>
      <c r="F10" s="88">
        <f>C10*E10</f>
        <v>3.08</v>
      </c>
    </row>
    <row r="11" spans="1:6">
      <c r="A11" s="86" t="s">
        <v>99</v>
      </c>
      <c r="B11" s="86" t="s">
        <v>163</v>
      </c>
      <c r="C11" s="86">
        <v>0.5</v>
      </c>
      <c r="D11" s="86" t="s">
        <v>16</v>
      </c>
      <c r="E11" s="89">
        <v>4.6900000000000004</v>
      </c>
      <c r="F11" s="88">
        <f>C11*E11</f>
        <v>2.3450000000000002</v>
      </c>
    </row>
    <row r="12" spans="1:6">
      <c r="A12" s="86" t="s">
        <v>99</v>
      </c>
      <c r="B12" s="86" t="s">
        <v>164</v>
      </c>
      <c r="C12" s="86">
        <v>1</v>
      </c>
      <c r="D12" s="86" t="s">
        <v>16</v>
      </c>
      <c r="E12" s="87">
        <v>5.66</v>
      </c>
      <c r="F12" s="88">
        <f>C12*E12</f>
        <v>5.66</v>
      </c>
    </row>
    <row r="13" spans="1:6">
      <c r="A13" s="86" t="s">
        <v>99</v>
      </c>
      <c r="B13" s="86" t="s">
        <v>39</v>
      </c>
      <c r="C13" s="86">
        <v>1</v>
      </c>
      <c r="D13" s="86" t="s">
        <v>16</v>
      </c>
      <c r="E13" s="87">
        <v>4.7699999999999996</v>
      </c>
      <c r="F13" s="88">
        <f>C13*E13</f>
        <v>4.7699999999999996</v>
      </c>
    </row>
    <row r="14" spans="1:6">
      <c r="A14" s="86" t="s">
        <v>99</v>
      </c>
      <c r="B14" s="86" t="s">
        <v>50</v>
      </c>
      <c r="C14" s="86">
        <v>4</v>
      </c>
      <c r="D14" s="86" t="s">
        <v>16</v>
      </c>
      <c r="E14" s="87">
        <v>1.65</v>
      </c>
      <c r="F14" s="88">
        <f>C14*E14</f>
        <v>6.6</v>
      </c>
    </row>
    <row r="15" spans="1:6">
      <c r="A15" s="86" t="s">
        <v>99</v>
      </c>
      <c r="B15" s="86" t="s">
        <v>78</v>
      </c>
      <c r="C15" s="86">
        <v>0.2</v>
      </c>
      <c r="D15" s="86" t="s">
        <v>16</v>
      </c>
      <c r="E15" s="87">
        <v>8.3699999999999992</v>
      </c>
      <c r="F15" s="88">
        <f>C15*E15</f>
        <v>1.6739999999999999</v>
      </c>
    </row>
    <row r="16" spans="1:6">
      <c r="A16" s="86" t="s">
        <v>99</v>
      </c>
      <c r="B16" s="86" t="s">
        <v>104</v>
      </c>
      <c r="C16" s="86">
        <v>0.5</v>
      </c>
      <c r="D16" s="86" t="s">
        <v>16</v>
      </c>
      <c r="E16" s="87">
        <v>3.29</v>
      </c>
      <c r="F16" s="88">
        <f>C16*E16</f>
        <v>1.645</v>
      </c>
    </row>
    <row r="17" spans="1:6">
      <c r="A17" s="86" t="s">
        <v>99</v>
      </c>
      <c r="B17" s="86" t="s">
        <v>62</v>
      </c>
      <c r="C17" s="86">
        <v>0.5</v>
      </c>
      <c r="D17" s="86" t="s">
        <v>16</v>
      </c>
      <c r="E17" s="87">
        <v>4.78</v>
      </c>
      <c r="F17" s="88">
        <f>C17*E17</f>
        <v>2.39</v>
      </c>
    </row>
    <row r="18" spans="1:6">
      <c r="A18" s="86" t="s">
        <v>99</v>
      </c>
      <c r="B18" s="86" t="s">
        <v>107</v>
      </c>
      <c r="C18" s="86">
        <v>0.3</v>
      </c>
      <c r="D18" s="86" t="s">
        <v>16</v>
      </c>
      <c r="E18" s="89">
        <v>2.64</v>
      </c>
      <c r="F18" s="88">
        <f>C18*E18</f>
        <v>0.79200000000000004</v>
      </c>
    </row>
    <row r="19" spans="1:6">
      <c r="A19" s="86" t="s">
        <v>99</v>
      </c>
      <c r="B19" s="86" t="s">
        <v>108</v>
      </c>
      <c r="C19" s="86">
        <v>0.5</v>
      </c>
      <c r="D19" s="86" t="s">
        <v>16</v>
      </c>
      <c r="E19" s="87">
        <v>3.07</v>
      </c>
      <c r="F19" s="88">
        <f>C19*E19</f>
        <v>1.5349999999999999</v>
      </c>
    </row>
    <row r="21" spans="1:6">
      <c r="A21" s="86"/>
      <c r="B21" s="86"/>
      <c r="C21" s="86"/>
      <c r="D21" s="86"/>
      <c r="E21" s="95" t="s">
        <v>136</v>
      </c>
      <c r="F21" s="96">
        <f>SUM(F4:F19)</f>
        <v>64.491</v>
      </c>
    </row>
  </sheetData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D3222-C37C-46A7-BD30-F751861B4266}">
  <dimension ref="A1:F22"/>
  <sheetViews>
    <sheetView workbookViewId="0">
      <selection activeCell="I22" sqref="I22"/>
    </sheetView>
  </sheetViews>
  <sheetFormatPr defaultRowHeight="13.5"/>
  <cols>
    <col min="1" max="1" width="20" customWidth="1"/>
    <col min="2" max="2" width="40" customWidth="1"/>
    <col min="3" max="3" width="11.625" customWidth="1"/>
    <col min="4" max="4" width="8.375" customWidth="1"/>
    <col min="5" max="6" width="15" customWidth="1"/>
  </cols>
  <sheetData>
    <row r="1" spans="1:6" ht="21.75" customHeight="1">
      <c r="A1" s="85" t="s">
        <v>165</v>
      </c>
    </row>
    <row r="3" spans="1:6" ht="15">
      <c r="A3" s="102" t="s">
        <v>1</v>
      </c>
      <c r="B3" s="102" t="s">
        <v>2</v>
      </c>
      <c r="C3" s="103" t="s">
        <v>129</v>
      </c>
      <c r="D3" s="102" t="s">
        <v>5</v>
      </c>
      <c r="E3" s="103" t="s">
        <v>130</v>
      </c>
      <c r="F3" s="103" t="s">
        <v>7</v>
      </c>
    </row>
    <row r="4" spans="1:6">
      <c r="A4" s="86" t="s">
        <v>90</v>
      </c>
      <c r="B4" s="86" t="s">
        <v>131</v>
      </c>
      <c r="C4" s="86">
        <v>6</v>
      </c>
      <c r="D4" s="86" t="s">
        <v>33</v>
      </c>
      <c r="E4" s="87">
        <v>1.01</v>
      </c>
      <c r="F4" s="88">
        <f>C4*E4</f>
        <v>6.0600000000000005</v>
      </c>
    </row>
    <row r="5" spans="1:6">
      <c r="A5" s="86" t="s">
        <v>90</v>
      </c>
      <c r="B5" s="86" t="s">
        <v>132</v>
      </c>
      <c r="C5" s="86">
        <v>6</v>
      </c>
      <c r="D5" s="86" t="s">
        <v>33</v>
      </c>
      <c r="E5" s="87">
        <v>0.93</v>
      </c>
      <c r="F5" s="88">
        <f>C5*E5</f>
        <v>5.58</v>
      </c>
    </row>
    <row r="6" spans="1:6">
      <c r="A6" s="86" t="s">
        <v>90</v>
      </c>
      <c r="B6" s="86" t="s">
        <v>91</v>
      </c>
      <c r="C6" s="86">
        <v>4</v>
      </c>
      <c r="D6" s="86" t="s">
        <v>33</v>
      </c>
      <c r="E6" s="87">
        <v>0.67</v>
      </c>
      <c r="F6" s="88">
        <f>C6*E6</f>
        <v>2.68</v>
      </c>
    </row>
    <row r="7" spans="1:6">
      <c r="A7" s="86" t="s">
        <v>90</v>
      </c>
      <c r="B7" s="86" t="s">
        <v>92</v>
      </c>
      <c r="C7" s="86">
        <v>4</v>
      </c>
      <c r="D7" s="86" t="s">
        <v>33</v>
      </c>
      <c r="E7" s="87">
        <v>0.61</v>
      </c>
      <c r="F7" s="88">
        <f>C7*E7</f>
        <v>2.44</v>
      </c>
    </row>
    <row r="8" spans="1:6">
      <c r="A8" s="86" t="s">
        <v>90</v>
      </c>
      <c r="B8" s="86" t="s">
        <v>75</v>
      </c>
      <c r="C8" s="86">
        <v>6</v>
      </c>
      <c r="D8" s="86" t="s">
        <v>33</v>
      </c>
      <c r="E8" s="87">
        <v>1.1200000000000001</v>
      </c>
      <c r="F8" s="88">
        <f>C8*E8</f>
        <v>6.7200000000000006</v>
      </c>
    </row>
    <row r="9" spans="1:6">
      <c r="A9" s="86" t="s">
        <v>90</v>
      </c>
      <c r="B9" s="86" t="s">
        <v>149</v>
      </c>
      <c r="C9" s="86">
        <v>6</v>
      </c>
      <c r="D9" s="86" t="s">
        <v>33</v>
      </c>
      <c r="E9" s="89">
        <v>1.2</v>
      </c>
      <c r="F9" s="88">
        <f>C9*E9</f>
        <v>7.1999999999999993</v>
      </c>
    </row>
    <row r="10" spans="1:6">
      <c r="A10" s="86" t="s">
        <v>90</v>
      </c>
      <c r="B10" s="86" t="s">
        <v>52</v>
      </c>
      <c r="C10" s="86">
        <v>6</v>
      </c>
      <c r="D10" s="86" t="s">
        <v>33</v>
      </c>
      <c r="E10" s="87">
        <v>1.1200000000000001</v>
      </c>
      <c r="F10" s="88">
        <f>C10*E10</f>
        <v>6.7200000000000006</v>
      </c>
    </row>
    <row r="11" spans="1:6">
      <c r="A11" s="86" t="s">
        <v>99</v>
      </c>
      <c r="B11" s="86" t="s">
        <v>100</v>
      </c>
      <c r="C11" s="86">
        <v>5</v>
      </c>
      <c r="D11" s="86" t="s">
        <v>16</v>
      </c>
      <c r="E11" s="87">
        <v>1.64</v>
      </c>
      <c r="F11" s="88">
        <f>C11*E11</f>
        <v>8.1999999999999993</v>
      </c>
    </row>
    <row r="12" spans="1:6">
      <c r="A12" s="86" t="s">
        <v>99</v>
      </c>
      <c r="B12" s="86" t="s">
        <v>101</v>
      </c>
      <c r="C12" s="86">
        <v>2</v>
      </c>
      <c r="D12" s="86" t="s">
        <v>16</v>
      </c>
      <c r="E12" s="87">
        <v>1.54</v>
      </c>
      <c r="F12" s="88">
        <f>C12*E12</f>
        <v>3.08</v>
      </c>
    </row>
    <row r="13" spans="1:6">
      <c r="A13" s="86" t="s">
        <v>99</v>
      </c>
      <c r="B13" s="86" t="s">
        <v>45</v>
      </c>
      <c r="C13" s="86">
        <v>2</v>
      </c>
      <c r="D13" s="86" t="s">
        <v>16</v>
      </c>
      <c r="E13" s="87">
        <v>2.2200000000000002</v>
      </c>
      <c r="F13" s="88">
        <f>C13*E13</f>
        <v>4.4400000000000004</v>
      </c>
    </row>
    <row r="14" spans="1:6">
      <c r="A14" s="86" t="s">
        <v>99</v>
      </c>
      <c r="B14" s="86" t="s">
        <v>39</v>
      </c>
      <c r="C14" s="86">
        <v>2</v>
      </c>
      <c r="D14" s="86" t="s">
        <v>16</v>
      </c>
      <c r="E14" s="87">
        <v>4.7699999999999996</v>
      </c>
      <c r="F14" s="88">
        <f>C14*E14</f>
        <v>9.5399999999999991</v>
      </c>
    </row>
    <row r="15" spans="1:6">
      <c r="A15" s="86" t="s">
        <v>99</v>
      </c>
      <c r="B15" s="86" t="s">
        <v>50</v>
      </c>
      <c r="C15" s="86">
        <v>3</v>
      </c>
      <c r="D15" s="86" t="s">
        <v>16</v>
      </c>
      <c r="E15" s="87">
        <v>1.65</v>
      </c>
      <c r="F15" s="88">
        <f>C15*E15</f>
        <v>4.9499999999999993</v>
      </c>
    </row>
    <row r="16" spans="1:6">
      <c r="A16" s="86" t="s">
        <v>99</v>
      </c>
      <c r="B16" s="86" t="s">
        <v>104</v>
      </c>
      <c r="C16" s="86">
        <v>1.5</v>
      </c>
      <c r="D16" s="86" t="s">
        <v>16</v>
      </c>
      <c r="E16" s="87">
        <v>3.29</v>
      </c>
      <c r="F16" s="88">
        <f>C16*E16</f>
        <v>4.9350000000000005</v>
      </c>
    </row>
    <row r="17" spans="1:6">
      <c r="A17" s="86" t="s">
        <v>99</v>
      </c>
      <c r="B17" s="86" t="s">
        <v>78</v>
      </c>
      <c r="C17" s="86">
        <v>0.2</v>
      </c>
      <c r="D17" s="86" t="s">
        <v>16</v>
      </c>
      <c r="E17" s="87">
        <v>8.3699999999999992</v>
      </c>
      <c r="F17" s="88">
        <f>C17*E17</f>
        <v>1.6739999999999999</v>
      </c>
    </row>
    <row r="18" spans="1:6">
      <c r="A18" s="86" t="s">
        <v>99</v>
      </c>
      <c r="B18" s="86" t="s">
        <v>62</v>
      </c>
      <c r="C18" s="86">
        <v>0.8</v>
      </c>
      <c r="D18" s="86" t="s">
        <v>16</v>
      </c>
      <c r="E18" s="87">
        <v>4.78</v>
      </c>
      <c r="F18" s="88">
        <f>C18*E18</f>
        <v>3.8240000000000003</v>
      </c>
    </row>
    <row r="19" spans="1:6">
      <c r="A19" s="86" t="s">
        <v>99</v>
      </c>
      <c r="B19" s="86" t="s">
        <v>107</v>
      </c>
      <c r="C19" s="86">
        <v>0.5</v>
      </c>
      <c r="D19" s="86" t="s">
        <v>16</v>
      </c>
      <c r="E19" s="89">
        <v>2.64</v>
      </c>
      <c r="F19" s="88">
        <f>C19*E19</f>
        <v>1.32</v>
      </c>
    </row>
    <row r="20" spans="1:6">
      <c r="A20" s="86" t="s">
        <v>99</v>
      </c>
      <c r="B20" s="86" t="s">
        <v>108</v>
      </c>
      <c r="C20" s="86">
        <v>0.8</v>
      </c>
      <c r="D20" s="86" t="s">
        <v>16</v>
      </c>
      <c r="E20" s="87">
        <v>3.07</v>
      </c>
      <c r="F20" s="88">
        <f>C20*E20</f>
        <v>2.456</v>
      </c>
    </row>
    <row r="22" spans="1:6">
      <c r="E22" s="95" t="s">
        <v>136</v>
      </c>
      <c r="F22" s="96">
        <f>SUM(F4:F20)</f>
        <v>81.819000000000003</v>
      </c>
    </row>
  </sheetData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51809-7A04-4514-B4F3-29D06786A43B}">
  <dimension ref="A1:F10"/>
  <sheetViews>
    <sheetView workbookViewId="0"/>
  </sheetViews>
  <sheetFormatPr defaultRowHeight="13.5"/>
  <cols>
    <col min="1" max="1" width="20" customWidth="1"/>
    <col min="2" max="2" width="40" customWidth="1"/>
    <col min="3" max="3" width="11.625" customWidth="1"/>
    <col min="4" max="4" width="8.375" customWidth="1"/>
    <col min="5" max="6" width="15" customWidth="1"/>
  </cols>
  <sheetData>
    <row r="1" spans="1:6" ht="21.75" customHeight="1">
      <c r="A1" s="85" t="s">
        <v>166</v>
      </c>
    </row>
    <row r="3" spans="1:6" ht="15">
      <c r="A3" s="102" t="s">
        <v>1</v>
      </c>
      <c r="B3" s="102" t="s">
        <v>2</v>
      </c>
      <c r="C3" s="103" t="s">
        <v>129</v>
      </c>
      <c r="D3" s="102" t="s">
        <v>5</v>
      </c>
      <c r="E3" s="103" t="s">
        <v>130</v>
      </c>
      <c r="F3" s="103" t="s">
        <v>7</v>
      </c>
    </row>
    <row r="4" spans="1:6">
      <c r="A4" s="86" t="s">
        <v>90</v>
      </c>
      <c r="B4" s="86" t="s">
        <v>91</v>
      </c>
      <c r="C4" s="86">
        <v>5</v>
      </c>
      <c r="D4" s="86" t="s">
        <v>33</v>
      </c>
      <c r="E4" s="87">
        <v>0.67</v>
      </c>
      <c r="F4" s="88">
        <f>C4*E4</f>
        <v>3.35</v>
      </c>
    </row>
    <row r="5" spans="1:6">
      <c r="A5" s="86" t="s">
        <v>90</v>
      </c>
      <c r="B5" s="86" t="s">
        <v>149</v>
      </c>
      <c r="C5" s="86">
        <v>6</v>
      </c>
      <c r="D5" s="86" t="s">
        <v>33</v>
      </c>
      <c r="E5" s="89">
        <v>1.2</v>
      </c>
      <c r="F5" s="88">
        <f>C5*E5</f>
        <v>7.1999999999999993</v>
      </c>
    </row>
    <row r="6" spans="1:6">
      <c r="A6" s="86" t="s">
        <v>90</v>
      </c>
      <c r="B6" s="86" t="s">
        <v>114</v>
      </c>
      <c r="C6" s="86">
        <v>4</v>
      </c>
      <c r="D6" s="86" t="s">
        <v>33</v>
      </c>
      <c r="E6" s="87">
        <v>0.6</v>
      </c>
      <c r="F6" s="88">
        <f>C6*E6</f>
        <v>2.4</v>
      </c>
    </row>
    <row r="7" spans="1:6">
      <c r="A7" s="86" t="s">
        <v>90</v>
      </c>
      <c r="B7" s="86" t="s">
        <v>92</v>
      </c>
      <c r="C7" s="86">
        <v>4</v>
      </c>
      <c r="D7" s="86" t="s">
        <v>33</v>
      </c>
      <c r="E7" s="87">
        <v>0.61</v>
      </c>
      <c r="F7" s="88">
        <f>C7*E7</f>
        <v>2.44</v>
      </c>
    </row>
    <row r="8" spans="1:6">
      <c r="A8" s="86" t="s">
        <v>90</v>
      </c>
      <c r="B8" s="86" t="s">
        <v>149</v>
      </c>
      <c r="C8" s="86">
        <v>6</v>
      </c>
      <c r="D8" s="86" t="s">
        <v>33</v>
      </c>
      <c r="E8" s="89">
        <v>1.2</v>
      </c>
      <c r="F8" s="88">
        <f>C8*E8</f>
        <v>7.1999999999999993</v>
      </c>
    </row>
    <row r="10" spans="1:6">
      <c r="A10" s="86"/>
      <c r="B10" s="86"/>
      <c r="C10" s="86"/>
      <c r="D10" s="86"/>
      <c r="E10" s="95" t="s">
        <v>136</v>
      </c>
      <c r="F10" s="96">
        <f>SUM(F4:F8)</f>
        <v>22.589999999999996</v>
      </c>
    </row>
  </sheetData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1685F-D5FC-4A12-8808-99FBFDE9C701}">
  <dimension ref="A1:F21"/>
  <sheetViews>
    <sheetView workbookViewId="0">
      <selection activeCell="F11" sqref="F11"/>
    </sheetView>
  </sheetViews>
  <sheetFormatPr defaultRowHeight="13.5"/>
  <cols>
    <col min="1" max="1" width="20" customWidth="1"/>
    <col min="2" max="2" width="40" customWidth="1"/>
    <col min="3" max="3" width="11.625" customWidth="1"/>
    <col min="4" max="4" width="8.375" customWidth="1"/>
    <col min="5" max="6" width="15" customWidth="1"/>
  </cols>
  <sheetData>
    <row r="1" spans="1:6" ht="21.75" customHeight="1">
      <c r="A1" s="85" t="s">
        <v>167</v>
      </c>
    </row>
    <row r="3" spans="1:6" ht="15">
      <c r="A3" s="102" t="s">
        <v>1</v>
      </c>
      <c r="B3" s="102" t="s">
        <v>2</v>
      </c>
      <c r="C3" s="103" t="s">
        <v>129</v>
      </c>
      <c r="D3" s="102" t="s">
        <v>5</v>
      </c>
      <c r="E3" s="103" t="s">
        <v>130</v>
      </c>
      <c r="F3" s="103" t="s">
        <v>7</v>
      </c>
    </row>
    <row r="4" spans="1:6">
      <c r="A4" s="86" t="s">
        <v>90</v>
      </c>
      <c r="B4" s="86" t="s">
        <v>91</v>
      </c>
      <c r="C4" s="86">
        <v>7</v>
      </c>
      <c r="D4" s="86" t="s">
        <v>33</v>
      </c>
      <c r="E4" s="87">
        <v>0.67</v>
      </c>
      <c r="F4" s="88">
        <f>C4*E4</f>
        <v>4.6900000000000004</v>
      </c>
    </row>
    <row r="5" spans="1:6">
      <c r="A5" s="86" t="s">
        <v>90</v>
      </c>
      <c r="B5" s="86" t="s">
        <v>114</v>
      </c>
      <c r="C5" s="86">
        <v>7</v>
      </c>
      <c r="D5" s="86" t="s">
        <v>33</v>
      </c>
      <c r="E5" s="87">
        <v>0.6</v>
      </c>
      <c r="F5" s="88">
        <f>C5*E5</f>
        <v>4.2</v>
      </c>
    </row>
    <row r="6" spans="1:6">
      <c r="A6" s="86" t="s">
        <v>90</v>
      </c>
      <c r="B6" s="86" t="s">
        <v>149</v>
      </c>
      <c r="C6" s="86">
        <v>7</v>
      </c>
      <c r="D6" s="86" t="s">
        <v>33</v>
      </c>
      <c r="E6" s="89">
        <v>1.2</v>
      </c>
      <c r="F6" s="88">
        <f>C6*E6</f>
        <v>8.4</v>
      </c>
    </row>
    <row r="7" spans="1:6">
      <c r="A7" s="86" t="s">
        <v>90</v>
      </c>
      <c r="B7" s="86" t="s">
        <v>115</v>
      </c>
      <c r="C7" s="86">
        <v>7</v>
      </c>
      <c r="D7" s="86" t="s">
        <v>33</v>
      </c>
      <c r="E7" s="87">
        <v>1.1200000000000001</v>
      </c>
      <c r="F7" s="88">
        <f>C7*E7</f>
        <v>7.8400000000000007</v>
      </c>
    </row>
    <row r="8" spans="1:6">
      <c r="A8" s="86" t="s">
        <v>99</v>
      </c>
      <c r="B8" s="86" t="s">
        <v>100</v>
      </c>
      <c r="C8" s="86">
        <v>4</v>
      </c>
      <c r="D8" s="86" t="s">
        <v>16</v>
      </c>
      <c r="E8" s="87">
        <v>1.64</v>
      </c>
      <c r="F8" s="88">
        <f>C8*E8</f>
        <v>6.56</v>
      </c>
    </row>
    <row r="9" spans="1:6">
      <c r="A9" s="86" t="s">
        <v>99</v>
      </c>
      <c r="B9" s="86" t="s">
        <v>162</v>
      </c>
      <c r="C9" s="86">
        <v>2</v>
      </c>
      <c r="D9" s="86" t="s">
        <v>16</v>
      </c>
      <c r="E9" s="89">
        <v>3.95</v>
      </c>
      <c r="F9" s="88">
        <f>C9*E9</f>
        <v>7.9</v>
      </c>
    </row>
    <row r="10" spans="1:6">
      <c r="A10" s="86" t="s">
        <v>99</v>
      </c>
      <c r="B10" s="86" t="s">
        <v>101</v>
      </c>
      <c r="C10" s="86">
        <v>2</v>
      </c>
      <c r="D10" s="86" t="s">
        <v>16</v>
      </c>
      <c r="E10" s="87">
        <v>1.54</v>
      </c>
      <c r="F10" s="88">
        <f>C10*E10</f>
        <v>3.08</v>
      </c>
    </row>
    <row r="11" spans="1:6">
      <c r="A11" s="86" t="s">
        <v>99</v>
      </c>
      <c r="B11" s="86" t="s">
        <v>168</v>
      </c>
      <c r="C11" s="86">
        <v>2</v>
      </c>
      <c r="D11" s="86" t="s">
        <v>16</v>
      </c>
      <c r="E11" s="89">
        <v>2.57</v>
      </c>
      <c r="F11" s="88">
        <f>C11*E11</f>
        <v>5.14</v>
      </c>
    </row>
    <row r="12" spans="1:6">
      <c r="A12" s="86" t="s">
        <v>99</v>
      </c>
      <c r="B12" s="86" t="s">
        <v>164</v>
      </c>
      <c r="C12" s="86">
        <v>1</v>
      </c>
      <c r="D12" s="86" t="s">
        <v>16</v>
      </c>
      <c r="E12" s="87">
        <v>5.66</v>
      </c>
      <c r="F12" s="88">
        <f>C12*E12</f>
        <v>5.66</v>
      </c>
    </row>
    <row r="13" spans="1:6">
      <c r="A13" s="86" t="s">
        <v>99</v>
      </c>
      <c r="B13" s="86" t="s">
        <v>39</v>
      </c>
      <c r="C13" s="86">
        <v>2</v>
      </c>
      <c r="D13" s="86" t="s">
        <v>16</v>
      </c>
      <c r="E13" s="87">
        <v>4.7699999999999996</v>
      </c>
      <c r="F13" s="88">
        <f>C13*E13</f>
        <v>9.5399999999999991</v>
      </c>
    </row>
    <row r="14" spans="1:6">
      <c r="A14" s="86" t="s">
        <v>99</v>
      </c>
      <c r="B14" s="86" t="s">
        <v>50</v>
      </c>
      <c r="C14" s="86">
        <v>5</v>
      </c>
      <c r="D14" s="86" t="s">
        <v>16</v>
      </c>
      <c r="E14" s="87">
        <v>1.65</v>
      </c>
      <c r="F14" s="88">
        <f>C14*E14</f>
        <v>8.25</v>
      </c>
    </row>
    <row r="15" spans="1:6">
      <c r="A15" s="86" t="s">
        <v>99</v>
      </c>
      <c r="B15" s="86" t="s">
        <v>78</v>
      </c>
      <c r="C15" s="86">
        <v>0.2</v>
      </c>
      <c r="D15" s="86" t="s">
        <v>16</v>
      </c>
      <c r="E15" s="87">
        <v>8.3699999999999992</v>
      </c>
      <c r="F15" s="88">
        <f>C15*E15</f>
        <v>1.6739999999999999</v>
      </c>
    </row>
    <row r="16" spans="1:6">
      <c r="A16" s="86" t="s">
        <v>99</v>
      </c>
      <c r="B16" s="86" t="s">
        <v>104</v>
      </c>
      <c r="C16" s="86">
        <v>1.5</v>
      </c>
      <c r="D16" s="86" t="s">
        <v>16</v>
      </c>
      <c r="E16" s="87">
        <v>3.29</v>
      </c>
      <c r="F16" s="88">
        <f>C16*E16</f>
        <v>4.9350000000000005</v>
      </c>
    </row>
    <row r="17" spans="1:6">
      <c r="A17" s="86" t="s">
        <v>99</v>
      </c>
      <c r="B17" s="86" t="s">
        <v>62</v>
      </c>
      <c r="C17" s="86">
        <v>0.8</v>
      </c>
      <c r="D17" s="86" t="s">
        <v>16</v>
      </c>
      <c r="E17" s="87">
        <v>4.78</v>
      </c>
      <c r="F17" s="88">
        <f>C17*E17</f>
        <v>3.8240000000000003</v>
      </c>
    </row>
    <row r="18" spans="1:6">
      <c r="A18" s="86" t="s">
        <v>99</v>
      </c>
      <c r="B18" s="86" t="s">
        <v>107</v>
      </c>
      <c r="C18" s="86">
        <v>0.5</v>
      </c>
      <c r="D18" s="86" t="s">
        <v>16</v>
      </c>
      <c r="E18" s="89">
        <v>2.64</v>
      </c>
      <c r="F18" s="88">
        <f>C18*E18</f>
        <v>1.32</v>
      </c>
    </row>
    <row r="19" spans="1:6">
      <c r="A19" s="86" t="s">
        <v>99</v>
      </c>
      <c r="B19" s="86" t="s">
        <v>108</v>
      </c>
      <c r="C19" s="86">
        <v>0.8</v>
      </c>
      <c r="D19" s="86" t="s">
        <v>16</v>
      </c>
      <c r="E19" s="87">
        <v>3.07</v>
      </c>
      <c r="F19" s="88">
        <f>C19*E19</f>
        <v>2.456</v>
      </c>
    </row>
    <row r="21" spans="1:6">
      <c r="A21" s="86"/>
      <c r="B21" s="86"/>
      <c r="C21" s="86"/>
      <c r="D21" s="86"/>
      <c r="E21" s="95" t="s">
        <v>136</v>
      </c>
      <c r="F21" s="96">
        <f>SUM(F4:F19)</f>
        <v>85.468999999999994</v>
      </c>
    </row>
  </sheetData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F1FF7-5FD7-4038-81AC-05B07D3751F0}">
  <dimension ref="A1:F24"/>
  <sheetViews>
    <sheetView workbookViewId="0">
      <selection activeCell="L16" sqref="L16"/>
    </sheetView>
  </sheetViews>
  <sheetFormatPr defaultRowHeight="13.5"/>
  <cols>
    <col min="1" max="1" width="20" customWidth="1"/>
    <col min="2" max="2" width="35" customWidth="1"/>
    <col min="3" max="3" width="11.625" customWidth="1"/>
    <col min="4" max="4" width="9.125" customWidth="1"/>
    <col min="5" max="5" width="15.875" customWidth="1"/>
    <col min="6" max="6" width="14.125" customWidth="1"/>
  </cols>
  <sheetData>
    <row r="1" spans="1:6" ht="21.75" customHeight="1">
      <c r="A1" s="118" t="s">
        <v>169</v>
      </c>
      <c r="B1" s="118"/>
      <c r="C1" s="118"/>
      <c r="D1" s="118"/>
      <c r="E1" s="118"/>
      <c r="F1" s="118"/>
    </row>
    <row r="3" spans="1:6">
      <c r="A3" s="104" t="s">
        <v>1</v>
      </c>
      <c r="B3" s="104" t="s">
        <v>2</v>
      </c>
      <c r="C3" s="105" t="s">
        <v>129</v>
      </c>
      <c r="D3" s="104" t="s">
        <v>5</v>
      </c>
      <c r="E3" s="105" t="s">
        <v>130</v>
      </c>
      <c r="F3" s="105" t="s">
        <v>7</v>
      </c>
    </row>
    <row r="4" spans="1:6">
      <c r="A4" s="86" t="s">
        <v>90</v>
      </c>
      <c r="B4" s="86" t="s">
        <v>131</v>
      </c>
      <c r="C4" s="86">
        <v>6</v>
      </c>
      <c r="D4" s="86" t="s">
        <v>33</v>
      </c>
      <c r="E4" s="87">
        <v>1.0111000000000001</v>
      </c>
      <c r="F4" s="88">
        <f>C4*E4</f>
        <v>6.0666000000000011</v>
      </c>
    </row>
    <row r="5" spans="1:6">
      <c r="A5" s="86" t="s">
        <v>90</v>
      </c>
      <c r="B5" s="86" t="s">
        <v>132</v>
      </c>
      <c r="C5" s="86">
        <v>6</v>
      </c>
      <c r="D5" s="86" t="s">
        <v>33</v>
      </c>
      <c r="E5" s="87">
        <v>0.92669999999999997</v>
      </c>
      <c r="F5" s="88">
        <f>C5*E5</f>
        <v>5.5602</v>
      </c>
    </row>
    <row r="6" spans="1:6">
      <c r="A6" s="86" t="s">
        <v>90</v>
      </c>
      <c r="B6" s="86" t="s">
        <v>91</v>
      </c>
      <c r="C6" s="86">
        <v>4</v>
      </c>
      <c r="D6" s="86" t="s">
        <v>33</v>
      </c>
      <c r="E6" s="87">
        <v>0.67</v>
      </c>
      <c r="F6" s="88">
        <f>C6*E6</f>
        <v>2.68</v>
      </c>
    </row>
    <row r="7" spans="1:6">
      <c r="A7" s="86" t="s">
        <v>90</v>
      </c>
      <c r="B7" s="86" t="s">
        <v>92</v>
      </c>
      <c r="C7" s="86">
        <v>4</v>
      </c>
      <c r="D7" s="86" t="s">
        <v>33</v>
      </c>
      <c r="E7" s="87">
        <v>0.57999999999999996</v>
      </c>
      <c r="F7" s="88">
        <f>C7*E7</f>
        <v>2.3199999999999998</v>
      </c>
    </row>
    <row r="8" spans="1:6">
      <c r="A8" s="86" t="s">
        <v>90</v>
      </c>
      <c r="B8" s="86" t="s">
        <v>75</v>
      </c>
      <c r="C8" s="86">
        <v>6</v>
      </c>
      <c r="D8" s="86" t="s">
        <v>33</v>
      </c>
      <c r="E8" s="87">
        <v>1.1242000000000001</v>
      </c>
      <c r="F8" s="88">
        <f>C8*E8</f>
        <v>6.7452000000000005</v>
      </c>
    </row>
    <row r="9" spans="1:6">
      <c r="A9" s="86" t="s">
        <v>90</v>
      </c>
      <c r="B9" s="86" t="s">
        <v>149</v>
      </c>
      <c r="C9" s="86">
        <v>6</v>
      </c>
      <c r="D9" s="86" t="s">
        <v>33</v>
      </c>
      <c r="E9" s="89">
        <v>1.2</v>
      </c>
      <c r="F9" s="88">
        <f>C9*E9</f>
        <v>7.1999999999999993</v>
      </c>
    </row>
    <row r="10" spans="1:6">
      <c r="A10" s="86" t="s">
        <v>90</v>
      </c>
      <c r="B10" s="86" t="s">
        <v>52</v>
      </c>
      <c r="C10" s="86">
        <v>6</v>
      </c>
      <c r="D10" s="86" t="s">
        <v>33</v>
      </c>
      <c r="E10" s="87">
        <v>1.119</v>
      </c>
      <c r="F10" s="88">
        <f>C10*E10</f>
        <v>6.7140000000000004</v>
      </c>
    </row>
    <row r="11" spans="1:6">
      <c r="A11" s="86" t="s">
        <v>99</v>
      </c>
      <c r="B11" s="86" t="s">
        <v>100</v>
      </c>
      <c r="C11" s="86">
        <v>4</v>
      </c>
      <c r="D11" s="86" t="s">
        <v>16</v>
      </c>
      <c r="E11" s="89">
        <v>1.64</v>
      </c>
      <c r="F11" s="88">
        <f>C11*E11</f>
        <v>6.56</v>
      </c>
    </row>
    <row r="12" spans="1:6">
      <c r="A12" s="86" t="s">
        <v>99</v>
      </c>
      <c r="B12" s="86" t="s">
        <v>101</v>
      </c>
      <c r="C12" s="86">
        <v>2</v>
      </c>
      <c r="D12" s="86" t="s">
        <v>16</v>
      </c>
      <c r="E12" s="87">
        <v>1.0907</v>
      </c>
      <c r="F12" s="88">
        <f>C12*E12</f>
        <v>2.1814</v>
      </c>
    </row>
    <row r="13" spans="1:6">
      <c r="A13" s="86" t="s">
        <v>99</v>
      </c>
      <c r="B13" s="86" t="s">
        <v>45</v>
      </c>
      <c r="C13" s="86">
        <v>2</v>
      </c>
      <c r="D13" s="86" t="s">
        <v>16</v>
      </c>
      <c r="E13" s="87">
        <v>2.57</v>
      </c>
      <c r="F13" s="88">
        <f>C13*E13</f>
        <v>5.14</v>
      </c>
    </row>
    <row r="14" spans="1:6">
      <c r="A14" s="86" t="s">
        <v>99</v>
      </c>
      <c r="B14" s="86" t="s">
        <v>39</v>
      </c>
      <c r="C14" s="86">
        <v>2</v>
      </c>
      <c r="D14" s="86" t="s">
        <v>16</v>
      </c>
      <c r="E14" s="87">
        <v>3.9117000000000002</v>
      </c>
      <c r="F14" s="88">
        <f>C14*E14</f>
        <v>7.8234000000000004</v>
      </c>
    </row>
    <row r="15" spans="1:6">
      <c r="A15" s="86" t="s">
        <v>99</v>
      </c>
      <c r="B15" s="86" t="s">
        <v>50</v>
      </c>
      <c r="C15" s="86">
        <v>3</v>
      </c>
      <c r="D15" s="86" t="s">
        <v>16</v>
      </c>
      <c r="E15" s="87">
        <v>1.5872999999999999</v>
      </c>
      <c r="F15" s="88">
        <f>C15*E15</f>
        <v>4.7618999999999998</v>
      </c>
    </row>
    <row r="16" spans="1:6">
      <c r="A16" s="86" t="s">
        <v>99</v>
      </c>
      <c r="B16" s="86" t="s">
        <v>104</v>
      </c>
      <c r="C16" s="86">
        <v>1.5</v>
      </c>
      <c r="D16" s="86" t="s">
        <v>16</v>
      </c>
      <c r="E16" s="87">
        <v>4.2</v>
      </c>
      <c r="F16" s="88">
        <f>C16*E16</f>
        <v>6.3000000000000007</v>
      </c>
    </row>
    <row r="17" spans="1:6">
      <c r="A17" s="86" t="s">
        <v>99</v>
      </c>
      <c r="B17" s="86" t="s">
        <v>78</v>
      </c>
      <c r="C17" s="86">
        <v>0.2</v>
      </c>
      <c r="D17" s="86" t="s">
        <v>16</v>
      </c>
      <c r="E17" s="87">
        <v>7.44</v>
      </c>
      <c r="F17" s="88">
        <f>C17*E17</f>
        <v>1.4880000000000002</v>
      </c>
    </row>
    <row r="18" spans="1:6">
      <c r="A18" s="86" t="s">
        <v>99</v>
      </c>
      <c r="B18" s="86" t="s">
        <v>62</v>
      </c>
      <c r="C18" s="86">
        <v>0.8</v>
      </c>
      <c r="D18" s="86" t="s">
        <v>16</v>
      </c>
      <c r="E18" s="87">
        <v>4.6398000000000001</v>
      </c>
      <c r="F18" s="88">
        <f>C18*E18</f>
        <v>3.7118400000000005</v>
      </c>
    </row>
    <row r="19" spans="1:6">
      <c r="A19" s="86" t="s">
        <v>99</v>
      </c>
      <c r="B19" s="86" t="s">
        <v>107</v>
      </c>
      <c r="C19" s="86">
        <v>0.5</v>
      </c>
      <c r="D19" s="86" t="s">
        <v>16</v>
      </c>
      <c r="E19" s="89">
        <v>2.64</v>
      </c>
      <c r="F19" s="88">
        <f>C19*E19</f>
        <v>1.32</v>
      </c>
    </row>
    <row r="20" spans="1:6">
      <c r="A20" s="86" t="s">
        <v>99</v>
      </c>
      <c r="B20" s="86" t="s">
        <v>108</v>
      </c>
      <c r="C20" s="86">
        <v>0.8</v>
      </c>
      <c r="D20" s="86" t="s">
        <v>16</v>
      </c>
      <c r="E20" s="87">
        <v>2.9729000000000001</v>
      </c>
      <c r="F20" s="88">
        <f>C20*E20</f>
        <v>2.37832</v>
      </c>
    </row>
    <row r="21" spans="1:6">
      <c r="A21" s="86"/>
      <c r="B21" s="86"/>
      <c r="C21" s="86"/>
      <c r="D21" s="86"/>
      <c r="E21" s="87"/>
      <c r="F21" s="88"/>
    </row>
    <row r="22" spans="1:6">
      <c r="A22" s="86"/>
      <c r="B22" s="86"/>
      <c r="C22" s="86"/>
      <c r="D22" s="86"/>
      <c r="E22" s="87"/>
      <c r="F22" s="88"/>
    </row>
    <row r="24" spans="1:6">
      <c r="E24" s="95" t="s">
        <v>136</v>
      </c>
      <c r="F24" s="96">
        <f>SUM(F4:F22)</f>
        <v>78.950859999999992</v>
      </c>
    </row>
  </sheetData>
  <mergeCells count="1">
    <mergeCell ref="A1:F1"/>
  </mergeCells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0BED7-58DB-4F60-8A22-735C639AFA91}">
  <dimension ref="A1:F11"/>
  <sheetViews>
    <sheetView workbookViewId="0">
      <selection activeCell="E9" sqref="E9"/>
    </sheetView>
  </sheetViews>
  <sheetFormatPr defaultRowHeight="13.5"/>
  <cols>
    <col min="1" max="1" width="20" customWidth="1"/>
    <col min="2" max="2" width="35" customWidth="1"/>
    <col min="3" max="3" width="11.625" customWidth="1"/>
    <col min="4" max="4" width="9.125" customWidth="1"/>
    <col min="5" max="5" width="15.875" customWidth="1"/>
    <col min="6" max="6" width="14.125" customWidth="1"/>
  </cols>
  <sheetData>
    <row r="1" spans="1:6" ht="21.75" customHeight="1">
      <c r="A1" s="118" t="s">
        <v>170</v>
      </c>
      <c r="B1" s="118"/>
      <c r="C1" s="118"/>
      <c r="D1" s="118"/>
      <c r="E1" s="118"/>
      <c r="F1" s="118"/>
    </row>
    <row r="3" spans="1:6">
      <c r="A3" s="104" t="s">
        <v>1</v>
      </c>
      <c r="B3" s="104" t="s">
        <v>2</v>
      </c>
      <c r="C3" s="105" t="s">
        <v>129</v>
      </c>
      <c r="D3" s="104" t="s">
        <v>5</v>
      </c>
      <c r="E3" s="105" t="s">
        <v>130</v>
      </c>
      <c r="F3" s="105" t="s">
        <v>7</v>
      </c>
    </row>
    <row r="4" spans="1:6">
      <c r="A4" s="86" t="s">
        <v>90</v>
      </c>
      <c r="B4" s="86" t="s">
        <v>91</v>
      </c>
      <c r="C4" s="86">
        <v>5</v>
      </c>
      <c r="D4" s="86" t="s">
        <v>33</v>
      </c>
      <c r="E4" s="87">
        <v>0.67</v>
      </c>
      <c r="F4" s="88">
        <f>C4*E4</f>
        <v>3.35</v>
      </c>
    </row>
    <row r="5" spans="1:6">
      <c r="A5" s="86" t="s">
        <v>90</v>
      </c>
      <c r="B5" s="86" t="s">
        <v>149</v>
      </c>
      <c r="C5" s="86">
        <v>6</v>
      </c>
      <c r="D5" s="86" t="s">
        <v>33</v>
      </c>
      <c r="E5" s="89">
        <v>1.2</v>
      </c>
      <c r="F5" s="88">
        <f>C5*E5</f>
        <v>7.1999999999999993</v>
      </c>
    </row>
    <row r="6" spans="1:6">
      <c r="A6" s="86" t="s">
        <v>90</v>
      </c>
      <c r="B6" s="86" t="s">
        <v>114</v>
      </c>
      <c r="C6" s="86">
        <v>4</v>
      </c>
      <c r="D6" s="86" t="s">
        <v>33</v>
      </c>
      <c r="E6" s="87">
        <v>0.69</v>
      </c>
      <c r="F6" s="88">
        <f>C6*E6</f>
        <v>2.76</v>
      </c>
    </row>
    <row r="7" spans="1:6">
      <c r="A7" s="86" t="s">
        <v>90</v>
      </c>
      <c r="B7" s="86" t="s">
        <v>92</v>
      </c>
      <c r="C7" s="86">
        <v>4</v>
      </c>
      <c r="D7" s="86" t="s">
        <v>33</v>
      </c>
      <c r="E7" s="87">
        <v>0.57999999999999996</v>
      </c>
      <c r="F7" s="88">
        <f>C7*E7</f>
        <v>2.3199999999999998</v>
      </c>
    </row>
    <row r="8" spans="1:6">
      <c r="A8" s="86" t="s">
        <v>90</v>
      </c>
      <c r="B8" s="86" t="s">
        <v>149</v>
      </c>
      <c r="C8" s="86">
        <v>6</v>
      </c>
      <c r="D8" s="86" t="s">
        <v>33</v>
      </c>
      <c r="E8" s="89">
        <v>1.2</v>
      </c>
      <c r="F8" s="88">
        <f>C8*E8</f>
        <v>7.1999999999999993</v>
      </c>
    </row>
    <row r="9" spans="1:6">
      <c r="A9" s="86" t="s">
        <v>158</v>
      </c>
      <c r="B9" s="86" t="s">
        <v>171</v>
      </c>
      <c r="C9" s="86">
        <v>2</v>
      </c>
      <c r="D9" s="86" t="s">
        <v>11</v>
      </c>
      <c r="E9" s="87">
        <v>5.9081999999999999</v>
      </c>
      <c r="F9" s="88">
        <f>C9*E9</f>
        <v>11.8164</v>
      </c>
    </row>
    <row r="11" spans="1:6">
      <c r="E11" s="95" t="s">
        <v>136</v>
      </c>
      <c r="F11" s="96">
        <f>SUM(F4:F9)</f>
        <v>34.6464</v>
      </c>
    </row>
  </sheetData>
  <mergeCells count="1">
    <mergeCell ref="A1:F1"/>
  </mergeCells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3A142-A304-4FCB-B247-6E5063EF83EF}">
  <dimension ref="A1:F21"/>
  <sheetViews>
    <sheetView workbookViewId="0">
      <selection activeCell="J16" sqref="J16"/>
    </sheetView>
  </sheetViews>
  <sheetFormatPr defaultRowHeight="13.5"/>
  <cols>
    <col min="1" max="1" width="20" customWidth="1"/>
    <col min="2" max="2" width="35" customWidth="1"/>
    <col min="3" max="3" width="11.625" customWidth="1"/>
    <col min="4" max="4" width="9.125" customWidth="1"/>
    <col min="5" max="5" width="15.875" customWidth="1"/>
    <col min="6" max="6" width="14.125" customWidth="1"/>
  </cols>
  <sheetData>
    <row r="1" spans="1:6" ht="21.75" customHeight="1">
      <c r="A1" s="118" t="s">
        <v>172</v>
      </c>
      <c r="B1" s="118"/>
      <c r="C1" s="118"/>
      <c r="D1" s="118"/>
      <c r="E1" s="118"/>
      <c r="F1" s="118"/>
    </row>
    <row r="3" spans="1:6">
      <c r="A3" s="104" t="s">
        <v>1</v>
      </c>
      <c r="B3" s="104" t="s">
        <v>2</v>
      </c>
      <c r="C3" s="105" t="s">
        <v>129</v>
      </c>
      <c r="D3" s="104" t="s">
        <v>5</v>
      </c>
      <c r="E3" s="105" t="s">
        <v>130</v>
      </c>
      <c r="F3" s="105" t="s">
        <v>7</v>
      </c>
    </row>
    <row r="4" spans="1:6">
      <c r="A4" s="86" t="s">
        <v>90</v>
      </c>
      <c r="B4" s="86" t="s">
        <v>91</v>
      </c>
      <c r="C4" s="86">
        <v>7</v>
      </c>
      <c r="D4" s="86" t="s">
        <v>33</v>
      </c>
      <c r="E4" s="87">
        <v>0.67</v>
      </c>
      <c r="F4" s="88">
        <f>C4*E4</f>
        <v>4.6900000000000004</v>
      </c>
    </row>
    <row r="5" spans="1:6">
      <c r="A5" s="86" t="s">
        <v>90</v>
      </c>
      <c r="B5" s="86" t="s">
        <v>114</v>
      </c>
      <c r="C5" s="86">
        <v>7</v>
      </c>
      <c r="D5" s="86" t="s">
        <v>33</v>
      </c>
      <c r="E5" s="87">
        <v>0.68</v>
      </c>
      <c r="F5" s="88">
        <f>C5*E5</f>
        <v>4.7600000000000007</v>
      </c>
    </row>
    <row r="6" spans="1:6">
      <c r="A6" s="86" t="s">
        <v>90</v>
      </c>
      <c r="B6" s="86" t="s">
        <v>149</v>
      </c>
      <c r="C6" s="86">
        <v>7</v>
      </c>
      <c r="D6" s="86" t="s">
        <v>33</v>
      </c>
      <c r="E6" s="89">
        <v>1.2</v>
      </c>
      <c r="F6" s="88">
        <f>C6*E6</f>
        <v>8.4</v>
      </c>
    </row>
    <row r="7" spans="1:6">
      <c r="A7" s="86" t="s">
        <v>90</v>
      </c>
      <c r="B7" s="86" t="s">
        <v>115</v>
      </c>
      <c r="C7" s="86">
        <v>7</v>
      </c>
      <c r="D7" s="86" t="s">
        <v>33</v>
      </c>
      <c r="E7" s="87">
        <v>1.1242000000000001</v>
      </c>
      <c r="F7" s="88">
        <f>C7*E7</f>
        <v>7.8694000000000006</v>
      </c>
    </row>
    <row r="8" spans="1:6">
      <c r="A8" s="86" t="s">
        <v>99</v>
      </c>
      <c r="B8" s="86" t="s">
        <v>100</v>
      </c>
      <c r="C8" s="86">
        <v>3</v>
      </c>
      <c r="D8" s="86" t="s">
        <v>16</v>
      </c>
      <c r="E8" s="89">
        <v>1.64</v>
      </c>
      <c r="F8" s="88">
        <f>C8*E8</f>
        <v>4.92</v>
      </c>
    </row>
    <row r="9" spans="1:6">
      <c r="A9" s="86" t="s">
        <v>99</v>
      </c>
      <c r="B9" s="86" t="s">
        <v>162</v>
      </c>
      <c r="C9" s="86">
        <v>1</v>
      </c>
      <c r="D9" s="86" t="s">
        <v>16</v>
      </c>
      <c r="E9" s="89">
        <v>3.95</v>
      </c>
      <c r="F9" s="88">
        <f>C9*E9</f>
        <v>3.95</v>
      </c>
    </row>
    <row r="10" spans="1:6">
      <c r="A10" s="86" t="s">
        <v>99</v>
      </c>
      <c r="B10" s="86" t="s">
        <v>101</v>
      </c>
      <c r="C10" s="86">
        <v>2</v>
      </c>
      <c r="D10" s="86" t="s">
        <v>16</v>
      </c>
      <c r="E10" s="87">
        <v>1.65</v>
      </c>
      <c r="F10" s="88">
        <f>C10*E10</f>
        <v>3.3</v>
      </c>
    </row>
    <row r="11" spans="1:6">
      <c r="A11" s="86" t="s">
        <v>99</v>
      </c>
      <c r="B11" s="86" t="s">
        <v>163</v>
      </c>
      <c r="C11" s="86">
        <v>0.5</v>
      </c>
      <c r="D11" s="86" t="s">
        <v>16</v>
      </c>
      <c r="E11" s="89">
        <v>4.6399999999999997</v>
      </c>
      <c r="F11" s="88">
        <f>C11*E11</f>
        <v>2.3199999999999998</v>
      </c>
    </row>
    <row r="12" spans="1:6">
      <c r="A12" s="86" t="s">
        <v>99</v>
      </c>
      <c r="B12" s="86" t="s">
        <v>164</v>
      </c>
      <c r="C12" s="86">
        <v>1</v>
      </c>
      <c r="D12" s="86" t="s">
        <v>16</v>
      </c>
      <c r="E12" s="87">
        <v>7.0895999999999999</v>
      </c>
      <c r="F12" s="88">
        <f>C12*E12</f>
        <v>7.0895999999999999</v>
      </c>
    </row>
    <row r="13" spans="1:6">
      <c r="A13" s="86" t="s">
        <v>99</v>
      </c>
      <c r="B13" s="86" t="s">
        <v>39</v>
      </c>
      <c r="C13" s="86">
        <v>1</v>
      </c>
      <c r="D13" s="86" t="s">
        <v>16</v>
      </c>
      <c r="E13" s="87">
        <v>3.9117000000000002</v>
      </c>
      <c r="F13" s="88">
        <f>C13*E13</f>
        <v>3.9117000000000002</v>
      </c>
    </row>
    <row r="14" spans="1:6">
      <c r="A14" s="86" t="s">
        <v>99</v>
      </c>
      <c r="B14" s="86" t="s">
        <v>50</v>
      </c>
      <c r="C14" s="86">
        <v>4</v>
      </c>
      <c r="D14" s="86" t="s">
        <v>16</v>
      </c>
      <c r="E14" s="87">
        <v>1.5872999999999999</v>
      </c>
      <c r="F14" s="88">
        <f>C14*E14</f>
        <v>6.3491999999999997</v>
      </c>
    </row>
    <row r="15" spans="1:6">
      <c r="A15" s="86" t="s">
        <v>99</v>
      </c>
      <c r="B15" s="86" t="s">
        <v>78</v>
      </c>
      <c r="C15" s="86">
        <v>0.2</v>
      </c>
      <c r="D15" s="86" t="s">
        <v>16</v>
      </c>
      <c r="E15" s="87">
        <v>7.44</v>
      </c>
      <c r="F15" s="88">
        <f>C15*E15</f>
        <v>1.4880000000000002</v>
      </c>
    </row>
    <row r="16" spans="1:6">
      <c r="A16" s="86" t="s">
        <v>99</v>
      </c>
      <c r="B16" s="86" t="s">
        <v>104</v>
      </c>
      <c r="C16" s="86">
        <v>0.5</v>
      </c>
      <c r="D16" s="86" t="s">
        <v>16</v>
      </c>
      <c r="E16" s="87">
        <v>4.2</v>
      </c>
      <c r="F16" s="88">
        <f>C16*E16</f>
        <v>2.1</v>
      </c>
    </row>
    <row r="17" spans="1:6">
      <c r="A17" s="86" t="s">
        <v>99</v>
      </c>
      <c r="B17" s="86" t="s">
        <v>62</v>
      </c>
      <c r="C17" s="86">
        <v>0.5</v>
      </c>
      <c r="D17" s="86" t="s">
        <v>16</v>
      </c>
      <c r="E17" s="87">
        <v>4.6398000000000001</v>
      </c>
      <c r="F17" s="88">
        <f>C17*E17</f>
        <v>2.3199000000000001</v>
      </c>
    </row>
    <row r="18" spans="1:6">
      <c r="A18" s="86" t="s">
        <v>99</v>
      </c>
      <c r="B18" s="86" t="s">
        <v>107</v>
      </c>
      <c r="C18" s="86">
        <v>0.3</v>
      </c>
      <c r="D18" s="86" t="s">
        <v>16</v>
      </c>
      <c r="E18" s="89">
        <v>2.64</v>
      </c>
      <c r="F18" s="88">
        <f>C18*E18</f>
        <v>0.79200000000000004</v>
      </c>
    </row>
    <row r="19" spans="1:6">
      <c r="A19" s="86" t="s">
        <v>99</v>
      </c>
      <c r="B19" s="86" t="s">
        <v>108</v>
      </c>
      <c r="C19" s="86">
        <v>0.5</v>
      </c>
      <c r="D19" s="86" t="s">
        <v>16</v>
      </c>
      <c r="E19" s="87">
        <v>2.9729000000000001</v>
      </c>
      <c r="F19" s="88">
        <f>C19*E19</f>
        <v>1.48645</v>
      </c>
    </row>
    <row r="21" spans="1:6">
      <c r="E21" s="95" t="s">
        <v>136</v>
      </c>
      <c r="F21" s="96">
        <f>SUM(F4:F19)</f>
        <v>65.746250000000003</v>
      </c>
    </row>
  </sheetData>
  <mergeCells count="1">
    <mergeCell ref="A1:F1"/>
  </mergeCell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AD5D4-C54B-4922-B4BD-36DF6D107140}">
  <dimension ref="A1:E21"/>
  <sheetViews>
    <sheetView workbookViewId="0">
      <selection activeCell="T31" sqref="T31"/>
    </sheetView>
  </sheetViews>
  <sheetFormatPr defaultRowHeight="13.5"/>
  <cols>
    <col min="1" max="1" width="34.75" customWidth="1"/>
    <col min="2" max="2" width="3.875" bestFit="1" customWidth="1"/>
    <col min="3" max="3" width="4.375" bestFit="1" customWidth="1"/>
    <col min="4" max="4" width="11.125" bestFit="1" customWidth="1"/>
    <col min="5" max="5" width="11" bestFit="1" customWidth="1"/>
  </cols>
  <sheetData>
    <row r="1" spans="1:5" ht="18.75">
      <c r="A1" s="106" t="s">
        <v>173</v>
      </c>
      <c r="B1" s="107"/>
      <c r="C1" s="107"/>
      <c r="D1" s="107"/>
      <c r="E1" s="107"/>
    </row>
    <row r="2" spans="1:5">
      <c r="A2" s="108"/>
      <c r="B2" s="108"/>
      <c r="C2" s="108"/>
      <c r="D2" s="108"/>
      <c r="E2" s="108"/>
    </row>
    <row r="3" spans="1:5" ht="15">
      <c r="A3" s="109" t="s">
        <v>2</v>
      </c>
      <c r="B3" s="109" t="s">
        <v>98</v>
      </c>
      <c r="C3" s="109" t="s">
        <v>5</v>
      </c>
      <c r="D3" s="109" t="s">
        <v>130</v>
      </c>
      <c r="E3" s="109" t="s">
        <v>174</v>
      </c>
    </row>
    <row r="4" spans="1:5">
      <c r="A4" s="110" t="s">
        <v>175</v>
      </c>
      <c r="B4" s="111">
        <v>6</v>
      </c>
      <c r="C4" s="110" t="s">
        <v>33</v>
      </c>
      <c r="D4" s="112">
        <v>1.01</v>
      </c>
      <c r="E4" s="112">
        <f>B4*D4</f>
        <v>6.0600000000000005</v>
      </c>
    </row>
    <row r="5" spans="1:5">
      <c r="A5" s="110" t="s">
        <v>132</v>
      </c>
      <c r="B5" s="111">
        <v>6</v>
      </c>
      <c r="C5" s="110" t="s">
        <v>33</v>
      </c>
      <c r="D5" s="112">
        <v>1.01</v>
      </c>
      <c r="E5" s="112">
        <f>B5*D5</f>
        <v>6.0600000000000005</v>
      </c>
    </row>
    <row r="6" spans="1:5">
      <c r="A6" s="110" t="s">
        <v>91</v>
      </c>
      <c r="B6" s="111">
        <v>4</v>
      </c>
      <c r="C6" s="110" t="s">
        <v>33</v>
      </c>
      <c r="D6" s="112">
        <v>0.69</v>
      </c>
      <c r="E6" s="112">
        <f>B6*D6</f>
        <v>2.76</v>
      </c>
    </row>
    <row r="7" spans="1:5">
      <c r="A7" s="110" t="s">
        <v>92</v>
      </c>
      <c r="B7" s="111">
        <v>4</v>
      </c>
      <c r="C7" s="110" t="s">
        <v>33</v>
      </c>
      <c r="D7" s="112">
        <v>0.57999999999999996</v>
      </c>
      <c r="E7" s="112">
        <f>B7*D7</f>
        <v>2.3199999999999998</v>
      </c>
    </row>
    <row r="8" spans="1:5">
      <c r="A8" s="110" t="s">
        <v>75</v>
      </c>
      <c r="B8" s="111">
        <v>6</v>
      </c>
      <c r="C8" s="110" t="s">
        <v>33</v>
      </c>
      <c r="D8" s="112">
        <v>1.1200000000000001</v>
      </c>
      <c r="E8" s="112">
        <f>B8*D8</f>
        <v>6.7200000000000006</v>
      </c>
    </row>
    <row r="9" spans="1:5">
      <c r="A9" s="110" t="s">
        <v>149</v>
      </c>
      <c r="B9" s="111">
        <v>6</v>
      </c>
      <c r="C9" s="110" t="s">
        <v>33</v>
      </c>
      <c r="D9" s="112">
        <v>0.69</v>
      </c>
      <c r="E9" s="112">
        <f>B9*D9</f>
        <v>4.1399999999999997</v>
      </c>
    </row>
    <row r="10" spans="1:5">
      <c r="A10" s="110" t="s">
        <v>52</v>
      </c>
      <c r="B10" s="111">
        <v>6</v>
      </c>
      <c r="C10" s="110" t="s">
        <v>33</v>
      </c>
      <c r="D10" s="112">
        <v>1.1200000000000001</v>
      </c>
      <c r="E10" s="112">
        <f>B10*D10</f>
        <v>6.7200000000000006</v>
      </c>
    </row>
    <row r="11" spans="1:5">
      <c r="A11" s="110" t="s">
        <v>176</v>
      </c>
      <c r="B11" s="111">
        <v>5</v>
      </c>
      <c r="C11" s="110" t="s">
        <v>16</v>
      </c>
      <c r="D11" s="112">
        <v>1.64</v>
      </c>
      <c r="E11" s="112">
        <f>B11*D11</f>
        <v>8.1999999999999993</v>
      </c>
    </row>
    <row r="12" spans="1:5">
      <c r="A12" s="110" t="s">
        <v>177</v>
      </c>
      <c r="B12" s="111">
        <v>2</v>
      </c>
      <c r="C12" s="110" t="s">
        <v>16</v>
      </c>
      <c r="D12" s="112">
        <v>1.0900000000000001</v>
      </c>
      <c r="E12" s="112">
        <f>B12*D12</f>
        <v>2.1800000000000002</v>
      </c>
    </row>
    <row r="13" spans="1:5">
      <c r="A13" s="110" t="s">
        <v>178</v>
      </c>
      <c r="B13" s="111">
        <v>2</v>
      </c>
      <c r="C13" s="110" t="s">
        <v>16</v>
      </c>
      <c r="D13" s="112">
        <v>2.09</v>
      </c>
      <c r="E13" s="112">
        <f>B13*D13</f>
        <v>4.18</v>
      </c>
    </row>
    <row r="14" spans="1:5">
      <c r="A14" s="110" t="s">
        <v>179</v>
      </c>
      <c r="B14" s="111">
        <v>2</v>
      </c>
      <c r="C14" s="110" t="s">
        <v>16</v>
      </c>
      <c r="D14" s="112">
        <v>4.16</v>
      </c>
      <c r="E14" s="112">
        <f>B14*D14</f>
        <v>8.32</v>
      </c>
    </row>
    <row r="15" spans="1:5">
      <c r="A15" s="110" t="s">
        <v>180</v>
      </c>
      <c r="B15" s="111">
        <v>3</v>
      </c>
      <c r="C15" s="110" t="s">
        <v>16</v>
      </c>
      <c r="D15" s="112">
        <v>1.71</v>
      </c>
      <c r="E15" s="112">
        <f>B15*D15</f>
        <v>5.13</v>
      </c>
    </row>
    <row r="16" spans="1:5">
      <c r="A16" s="110" t="s">
        <v>181</v>
      </c>
      <c r="B16" s="111">
        <v>1.5</v>
      </c>
      <c r="C16" s="110" t="s">
        <v>16</v>
      </c>
      <c r="D16" s="112">
        <v>5.26</v>
      </c>
      <c r="E16" s="112">
        <f>B16*D16</f>
        <v>7.89</v>
      </c>
    </row>
    <row r="17" spans="1:5">
      <c r="A17" s="110" t="s">
        <v>182</v>
      </c>
      <c r="B17" s="111">
        <v>0.2</v>
      </c>
      <c r="C17" s="110" t="s">
        <v>16</v>
      </c>
      <c r="D17" s="112">
        <v>7.93</v>
      </c>
      <c r="E17" s="112">
        <f>B17*D17</f>
        <v>1.5860000000000001</v>
      </c>
    </row>
    <row r="18" spans="1:5">
      <c r="A18" s="110" t="s">
        <v>183</v>
      </c>
      <c r="B18" s="111">
        <v>0.8</v>
      </c>
      <c r="C18" s="110" t="s">
        <v>16</v>
      </c>
      <c r="D18" s="112">
        <v>4.46</v>
      </c>
      <c r="E18" s="112">
        <f>B18*D18</f>
        <v>3.5680000000000001</v>
      </c>
    </row>
    <row r="19" spans="1:5">
      <c r="A19" s="110" t="s">
        <v>184</v>
      </c>
      <c r="B19" s="111">
        <v>0.5</v>
      </c>
      <c r="C19" s="110" t="s">
        <v>16</v>
      </c>
      <c r="D19" s="112">
        <v>2.1</v>
      </c>
      <c r="E19" s="112">
        <f>B19*D19</f>
        <v>1.05</v>
      </c>
    </row>
    <row r="20" spans="1:5">
      <c r="A20" s="110" t="s">
        <v>185</v>
      </c>
      <c r="B20" s="111">
        <v>0.8</v>
      </c>
      <c r="C20" s="110" t="s">
        <v>16</v>
      </c>
      <c r="D20" s="112">
        <v>5.4</v>
      </c>
      <c r="E20" s="112">
        <f>B20*D20</f>
        <v>4.32</v>
      </c>
    </row>
    <row r="21" spans="1:5" ht="15">
      <c r="A21" s="113" t="s">
        <v>136</v>
      </c>
      <c r="B21" s="113"/>
      <c r="C21" s="113"/>
      <c r="D21" s="113"/>
      <c r="E21" s="114">
        <f>SUM(E4:E20)</f>
        <v>81.204000000000008</v>
      </c>
    </row>
  </sheetData>
  <mergeCells count="1">
    <mergeCell ref="A1:E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B3873-8031-4CA5-B38B-49C16A7AEC98}">
  <dimension ref="A1:E10"/>
  <sheetViews>
    <sheetView workbookViewId="0">
      <selection activeCell="V23" sqref="V23"/>
    </sheetView>
  </sheetViews>
  <sheetFormatPr defaultRowHeight="13.5"/>
  <cols>
    <col min="1" max="1" width="21.625" customWidth="1"/>
    <col min="2" max="2" width="3.875" bestFit="1" customWidth="1"/>
    <col min="3" max="3" width="4.375" bestFit="1" customWidth="1"/>
    <col min="4" max="4" width="11.125" bestFit="1" customWidth="1"/>
    <col min="5" max="5" width="11" bestFit="1" customWidth="1"/>
  </cols>
  <sheetData>
    <row r="1" spans="1:5" ht="18.75">
      <c r="A1" s="106" t="s">
        <v>186</v>
      </c>
      <c r="B1" s="107"/>
      <c r="C1" s="107"/>
      <c r="D1" s="107"/>
      <c r="E1" s="107"/>
    </row>
    <row r="2" spans="1:5">
      <c r="A2" s="108"/>
      <c r="B2" s="108"/>
      <c r="C2" s="108"/>
      <c r="D2" s="108"/>
      <c r="E2" s="108"/>
    </row>
    <row r="3" spans="1:5" ht="15">
      <c r="A3" s="109" t="s">
        <v>2</v>
      </c>
      <c r="B3" s="109" t="s">
        <v>98</v>
      </c>
      <c r="C3" s="109" t="s">
        <v>5</v>
      </c>
      <c r="D3" s="109" t="s">
        <v>130</v>
      </c>
      <c r="E3" s="109" t="s">
        <v>174</v>
      </c>
    </row>
    <row r="4" spans="1:5">
      <c r="A4" s="110" t="s">
        <v>91</v>
      </c>
      <c r="B4" s="111">
        <v>5</v>
      </c>
      <c r="C4" s="110" t="s">
        <v>33</v>
      </c>
      <c r="D4" s="112">
        <v>0.69</v>
      </c>
      <c r="E4" s="112">
        <f>B4*D4</f>
        <v>3.4499999999999997</v>
      </c>
    </row>
    <row r="5" spans="1:5">
      <c r="A5" s="110" t="s">
        <v>149</v>
      </c>
      <c r="B5" s="111">
        <v>6</v>
      </c>
      <c r="C5" s="110" t="s">
        <v>33</v>
      </c>
      <c r="D5" s="112">
        <v>0.69</v>
      </c>
      <c r="E5" s="112">
        <f>B5*D5</f>
        <v>4.1399999999999997</v>
      </c>
    </row>
    <row r="6" spans="1:5">
      <c r="A6" s="110" t="s">
        <v>114</v>
      </c>
      <c r="B6" s="111">
        <v>4</v>
      </c>
      <c r="C6" s="110" t="s">
        <v>33</v>
      </c>
      <c r="D6" s="112">
        <v>0.69</v>
      </c>
      <c r="E6" s="112">
        <f>B6*D6</f>
        <v>2.76</v>
      </c>
    </row>
    <row r="7" spans="1:5">
      <c r="A7" s="110" t="s">
        <v>92</v>
      </c>
      <c r="B7" s="111">
        <v>4</v>
      </c>
      <c r="C7" s="110" t="s">
        <v>33</v>
      </c>
      <c r="D7" s="112">
        <v>0.57999999999999996</v>
      </c>
      <c r="E7" s="112">
        <f>B7*D7</f>
        <v>2.3199999999999998</v>
      </c>
    </row>
    <row r="8" spans="1:5">
      <c r="A8" s="110" t="s">
        <v>149</v>
      </c>
      <c r="B8" s="111">
        <v>6</v>
      </c>
      <c r="C8" s="110" t="s">
        <v>33</v>
      </c>
      <c r="D8" s="112">
        <v>0.69</v>
      </c>
      <c r="E8" s="112">
        <f>B8*D8</f>
        <v>4.1399999999999997</v>
      </c>
    </row>
    <row r="9" spans="1:5">
      <c r="A9" s="110" t="s">
        <v>187</v>
      </c>
      <c r="B9" s="111">
        <v>2</v>
      </c>
      <c r="C9" s="110" t="s">
        <v>11</v>
      </c>
      <c r="D9" s="112">
        <v>5.94</v>
      </c>
      <c r="E9" s="112">
        <f>B9*D9</f>
        <v>11.88</v>
      </c>
    </row>
    <row r="10" spans="1:5" ht="15">
      <c r="A10" s="113" t="s">
        <v>136</v>
      </c>
      <c r="B10" s="113"/>
      <c r="C10" s="113"/>
      <c r="D10" s="113"/>
      <c r="E10" s="114">
        <f>SUM(E4:E9)</f>
        <v>28.689999999999998</v>
      </c>
    </row>
  </sheetData>
  <mergeCells count="1">
    <mergeCell ref="A1:E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FEC4B-069F-43FA-A81E-0C30CC19F8A0}">
  <dimension ref="A1:E20"/>
  <sheetViews>
    <sheetView tabSelected="1" workbookViewId="0">
      <selection activeCell="W29" sqref="W29"/>
    </sheetView>
  </sheetViews>
  <sheetFormatPr defaultRowHeight="13.5"/>
  <cols>
    <col min="1" max="1" width="30.75" customWidth="1"/>
    <col min="2" max="2" width="3.875" bestFit="1" customWidth="1"/>
    <col min="3" max="3" width="4.375" bestFit="1" customWidth="1"/>
    <col min="4" max="4" width="11.125" bestFit="1" customWidth="1"/>
    <col min="5" max="5" width="11" bestFit="1" customWidth="1"/>
  </cols>
  <sheetData>
    <row r="1" spans="1:5" ht="18.75">
      <c r="A1" s="106" t="s">
        <v>188</v>
      </c>
      <c r="B1" s="107"/>
      <c r="C1" s="107"/>
      <c r="D1" s="107"/>
      <c r="E1" s="107"/>
    </row>
    <row r="2" spans="1:5">
      <c r="A2" s="108"/>
      <c r="B2" s="108"/>
      <c r="C2" s="108"/>
      <c r="D2" s="108"/>
      <c r="E2" s="108"/>
    </row>
    <row r="3" spans="1:5" ht="15">
      <c r="A3" s="109" t="s">
        <v>2</v>
      </c>
      <c r="B3" s="109" t="s">
        <v>98</v>
      </c>
      <c r="C3" s="109" t="s">
        <v>5</v>
      </c>
      <c r="D3" s="109" t="s">
        <v>130</v>
      </c>
      <c r="E3" s="109" t="s">
        <v>174</v>
      </c>
    </row>
    <row r="4" spans="1:5">
      <c r="A4" s="110" t="s">
        <v>91</v>
      </c>
      <c r="B4" s="111">
        <v>7</v>
      </c>
      <c r="C4" s="110" t="s">
        <v>33</v>
      </c>
      <c r="D4" s="112">
        <v>0.69</v>
      </c>
      <c r="E4" s="112">
        <f>B4*D4</f>
        <v>4.83</v>
      </c>
    </row>
    <row r="5" spans="1:5">
      <c r="A5" s="110" t="s">
        <v>114</v>
      </c>
      <c r="B5" s="111">
        <v>7</v>
      </c>
      <c r="C5" s="110" t="s">
        <v>33</v>
      </c>
      <c r="D5" s="112">
        <v>0.69</v>
      </c>
      <c r="E5" s="112">
        <f>B5*D5</f>
        <v>4.83</v>
      </c>
    </row>
    <row r="6" spans="1:5">
      <c r="A6" s="110" t="s">
        <v>149</v>
      </c>
      <c r="B6" s="111">
        <v>7</v>
      </c>
      <c r="C6" s="110" t="s">
        <v>33</v>
      </c>
      <c r="D6" s="112">
        <v>0.69</v>
      </c>
      <c r="E6" s="112">
        <f>B6*D6</f>
        <v>4.83</v>
      </c>
    </row>
    <row r="7" spans="1:5">
      <c r="A7" s="110" t="s">
        <v>115</v>
      </c>
      <c r="B7" s="111">
        <v>7</v>
      </c>
      <c r="C7" s="110" t="s">
        <v>33</v>
      </c>
      <c r="D7" s="112">
        <v>1.1200000000000001</v>
      </c>
      <c r="E7" s="112">
        <f>B7*D7</f>
        <v>7.8400000000000007</v>
      </c>
    </row>
    <row r="8" spans="1:5">
      <c r="A8" s="110" t="s">
        <v>176</v>
      </c>
      <c r="B8" s="111">
        <v>3</v>
      </c>
      <c r="C8" s="110" t="s">
        <v>16</v>
      </c>
      <c r="D8" s="112">
        <v>1.64</v>
      </c>
      <c r="E8" s="112">
        <f>B8*D8</f>
        <v>4.92</v>
      </c>
    </row>
    <row r="9" spans="1:5">
      <c r="A9" s="110" t="s">
        <v>189</v>
      </c>
      <c r="B9" s="111">
        <v>1</v>
      </c>
      <c r="C9" s="110" t="s">
        <v>16</v>
      </c>
      <c r="D9" s="112">
        <v>2.93</v>
      </c>
      <c r="E9" s="112">
        <f>B9*D9</f>
        <v>2.93</v>
      </c>
    </row>
    <row r="10" spans="1:5">
      <c r="A10" s="110" t="s">
        <v>177</v>
      </c>
      <c r="B10" s="111">
        <v>2</v>
      </c>
      <c r="C10" s="110" t="s">
        <v>16</v>
      </c>
      <c r="D10" s="112">
        <v>1.0900000000000001</v>
      </c>
      <c r="E10" s="112">
        <f>B10*D10</f>
        <v>2.1800000000000002</v>
      </c>
    </row>
    <row r="11" spans="1:5">
      <c r="A11" s="110" t="s">
        <v>190</v>
      </c>
      <c r="B11" s="111">
        <v>0.5</v>
      </c>
      <c r="C11" s="110" t="s">
        <v>16</v>
      </c>
      <c r="D11" s="112">
        <v>5.95</v>
      </c>
      <c r="E11" s="112">
        <f>B11*D11</f>
        <v>2.9750000000000001</v>
      </c>
    </row>
    <row r="12" spans="1:5">
      <c r="A12" s="110" t="s">
        <v>191</v>
      </c>
      <c r="B12" s="111">
        <v>1</v>
      </c>
      <c r="C12" s="110" t="s">
        <v>16</v>
      </c>
      <c r="D12" s="112">
        <v>6.18</v>
      </c>
      <c r="E12" s="112">
        <f>B12*D12</f>
        <v>6.18</v>
      </c>
    </row>
    <row r="13" spans="1:5">
      <c r="A13" s="110" t="s">
        <v>179</v>
      </c>
      <c r="B13" s="111">
        <v>1</v>
      </c>
      <c r="C13" s="110" t="s">
        <v>16</v>
      </c>
      <c r="D13" s="112">
        <v>4.16</v>
      </c>
      <c r="E13" s="112">
        <f>B13*D13</f>
        <v>4.16</v>
      </c>
    </row>
    <row r="14" spans="1:5">
      <c r="A14" s="110" t="s">
        <v>180</v>
      </c>
      <c r="B14" s="111">
        <v>4</v>
      </c>
      <c r="C14" s="110" t="s">
        <v>16</v>
      </c>
      <c r="D14" s="112">
        <v>1.71</v>
      </c>
      <c r="E14" s="112">
        <f>B14*D14</f>
        <v>6.84</v>
      </c>
    </row>
    <row r="15" spans="1:5">
      <c r="A15" s="110" t="s">
        <v>182</v>
      </c>
      <c r="B15" s="111">
        <v>0.2</v>
      </c>
      <c r="C15" s="110" t="s">
        <v>16</v>
      </c>
      <c r="D15" s="112">
        <v>7.93</v>
      </c>
      <c r="E15" s="112">
        <f>B15*D15</f>
        <v>1.5860000000000001</v>
      </c>
    </row>
    <row r="16" spans="1:5">
      <c r="A16" s="110" t="s">
        <v>181</v>
      </c>
      <c r="B16" s="111">
        <v>0.5</v>
      </c>
      <c r="C16" s="110" t="s">
        <v>16</v>
      </c>
      <c r="D16" s="112">
        <v>5.26</v>
      </c>
      <c r="E16" s="112">
        <f>B16*D16</f>
        <v>2.63</v>
      </c>
    </row>
    <row r="17" spans="1:5">
      <c r="A17" s="110" t="s">
        <v>183</v>
      </c>
      <c r="B17" s="111">
        <v>0.5</v>
      </c>
      <c r="C17" s="110" t="s">
        <v>16</v>
      </c>
      <c r="D17" s="112">
        <v>4.46</v>
      </c>
      <c r="E17" s="112">
        <f>B17*D17</f>
        <v>2.23</v>
      </c>
    </row>
    <row r="18" spans="1:5">
      <c r="A18" s="110" t="s">
        <v>184</v>
      </c>
      <c r="B18" s="111">
        <v>0.3</v>
      </c>
      <c r="C18" s="110" t="s">
        <v>16</v>
      </c>
      <c r="D18" s="112">
        <v>2.1</v>
      </c>
      <c r="E18" s="112">
        <f>B18*D18</f>
        <v>0.63</v>
      </c>
    </row>
    <row r="19" spans="1:5">
      <c r="A19" s="110" t="s">
        <v>185</v>
      </c>
      <c r="B19" s="111">
        <v>0.5</v>
      </c>
      <c r="C19" s="110" t="s">
        <v>16</v>
      </c>
      <c r="D19" s="112">
        <v>5.4</v>
      </c>
      <c r="E19" s="112">
        <f>B19*D19</f>
        <v>2.7</v>
      </c>
    </row>
    <row r="20" spans="1:5" ht="15">
      <c r="A20" s="113" t="s">
        <v>136</v>
      </c>
      <c r="B20" s="113"/>
      <c r="C20" s="113"/>
      <c r="D20" s="113"/>
      <c r="E20" s="114">
        <f>SUM(E4:E19)</f>
        <v>62.291000000000004</v>
      </c>
    </row>
  </sheetData>
  <mergeCells count="1"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e09e25-7e23-4035-ab4d-492255ec730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65BD2AA10E544A8D675472A2626D4C" ma:contentTypeVersion="9" ma:contentTypeDescription="Create a new document." ma:contentTypeScope="" ma:versionID="5e82c8d6625c2e68d9d48fb2637f8c41">
  <xsd:schema xmlns:xsd="http://www.w3.org/2001/XMLSchema" xmlns:xs="http://www.w3.org/2001/XMLSchema" xmlns:p="http://schemas.microsoft.com/office/2006/metadata/properties" xmlns:ns2="41e09e25-7e23-4035-ab4d-492255ec7303" targetNamespace="http://schemas.microsoft.com/office/2006/metadata/properties" ma:root="true" ma:fieldsID="1c243dbceab855a600d20def827f9a7f" ns2:_="">
    <xsd:import namespace="41e09e25-7e23-4035-ab4d-492255ec73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e09e25-7e23-4035-ab4d-492255ec73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49d4a7e-11fa-45b7-8231-e24e2dc0c2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138215-AE44-4D13-9E7A-880CFEB2FB36}"/>
</file>

<file path=customXml/itemProps2.xml><?xml version="1.0" encoding="utf-8"?>
<ds:datastoreItem xmlns:ds="http://schemas.openxmlformats.org/officeDocument/2006/customXml" ds:itemID="{59599668-477C-490C-B559-E6DD12A37C74}"/>
</file>

<file path=customXml/itemProps3.xml><?xml version="1.0" encoding="utf-8"?>
<ds:datastoreItem xmlns:ds="http://schemas.openxmlformats.org/officeDocument/2006/customXml" ds:itemID="{FF4B8DE3-FD83-4EB8-8162-1A75CB31A4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abbassalloum</dc:creator>
  <cp:keywords/>
  <dc:description/>
  <cp:lastModifiedBy>Milan Patel</cp:lastModifiedBy>
  <cp:revision/>
  <dcterms:created xsi:type="dcterms:W3CDTF">2026-03-27T10:24:34Z</dcterms:created>
  <dcterms:modified xsi:type="dcterms:W3CDTF">2026-06-25T13:12:32Z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5B799758E0EB3B27D24CC669658737C9_41</vt:lpwstr>
  </property>
  <property fmtid="{D5CDD505-2E9C-101B-9397-08002B2CF9AE}" pid="3" name="KSOProductBuildVer">
    <vt:lpwstr>1033-6.12.2.8699</vt:lpwstr>
  </property>
  <property fmtid="{D5CDD505-2E9C-101B-9397-08002B2CF9AE}" pid="4" name="ContentTypeId">
    <vt:lpwstr>0x0101000365BD2AA10E544A8D675472A2626D4C</vt:lpwstr>
  </property>
  <property fmtid="{D5CDD505-2E9C-101B-9397-08002B2CF9AE}" pid="5" name="MediaServiceImageTags">
    <vt:lpwstr/>
  </property>
</Properties>
</file>