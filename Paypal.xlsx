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7379" documentId="11_5C5755BF84DCCEC36C3E1A399931F45B2A7E2811" xr6:coauthVersionLast="47" xr6:coauthVersionMax="47" xr10:uidLastSave="{45AA9440-FAF0-4F2E-B53D-778789BBC51D}"/>
  <bookViews>
    <workbookView xWindow="240" yWindow="105" windowWidth="14805" windowHeight="8010" firstSheet="37" activeTab="45" xr2:uid="{00000000-000D-0000-FFFF-FFFF00000000}"/>
  </bookViews>
  <sheets>
    <sheet name="Foglio1" sheetId="1" r:id="rId1"/>
    <sheet name="Foglio2" sheetId="7" r:id="rId2"/>
    <sheet name="Delivery 16.02" sheetId="2" r:id="rId3"/>
    <sheet name="Delivery 18.02" sheetId="3" r:id="rId4"/>
    <sheet name="Delivery 23.02" sheetId="4" r:id="rId5"/>
    <sheet name="Delivery 25.02" sheetId="5" r:id="rId6"/>
    <sheet name="Delivery 26.02" sheetId="6" r:id="rId7"/>
    <sheet name="Delivery 02.03" sheetId="8" r:id="rId8"/>
    <sheet name="Delivery  04.03" sheetId="9" r:id="rId9"/>
    <sheet name="Delivery 05.03" sheetId="10" r:id="rId10"/>
    <sheet name="Delivery 09.03" sheetId="11" r:id="rId11"/>
    <sheet name="Delivery  10.03" sheetId="12" r:id="rId12"/>
    <sheet name="Delivery 11.03" sheetId="13" r:id="rId13"/>
    <sheet name="Delivery  16.03" sheetId="14" r:id="rId14"/>
    <sheet name="Delivery 18.03" sheetId="15" r:id="rId15"/>
    <sheet name="Delivery 23.03" sheetId="16" r:id="rId16"/>
    <sheet name="Delivery 25.03" sheetId="17" r:id="rId17"/>
    <sheet name="Delivery 30.03" sheetId="18" r:id="rId18"/>
    <sheet name="March Summary" sheetId="19" r:id="rId19"/>
    <sheet name="Delivery 01.04" sheetId="20" r:id="rId20"/>
    <sheet name="Delivery 07.04" sheetId="21" r:id="rId21"/>
    <sheet name="Delivery 09.04" sheetId="22" r:id="rId22"/>
    <sheet name="Delivery 13.04" sheetId="23" r:id="rId23"/>
    <sheet name="Delivery 15.04.26" sheetId="24" r:id="rId24"/>
    <sheet name="Delivery 20.04" sheetId="26" r:id="rId25"/>
    <sheet name="Delivery 22.04" sheetId="27" r:id="rId26"/>
    <sheet name="Delivery 27.04" sheetId="28" r:id="rId27"/>
    <sheet name="Delivery 29.04" sheetId="29" r:id="rId28"/>
    <sheet name="April Summary" sheetId="31" r:id="rId29"/>
    <sheet name="Delivery 04.05" sheetId="32" r:id="rId30"/>
    <sheet name="Delivery 06.05" sheetId="34" r:id="rId31"/>
    <sheet name="Delivery 11.05" sheetId="36" r:id="rId32"/>
    <sheet name="Delivery 18.05" sheetId="38" r:id="rId33"/>
    <sheet name="Delivery 20.05" sheetId="40" r:id="rId34"/>
    <sheet name="Delivery 26.05" sheetId="44" r:id="rId35"/>
    <sheet name="Delivery 27.05" sheetId="46" r:id="rId36"/>
    <sheet name="May Summary" sheetId="47" r:id="rId37"/>
    <sheet name="Delivery 01.06 " sheetId="48" r:id="rId38"/>
    <sheet name="Sheet2" sheetId="56" r:id="rId39"/>
    <sheet name="Delivery 03.06" sheetId="49" r:id="rId40"/>
    <sheet name="Delivery 08.06" sheetId="51" r:id="rId41"/>
    <sheet name="Delivery 10.06" sheetId="52" r:id="rId42"/>
    <sheet name="Delivery 15.06" sheetId="53" r:id="rId43"/>
    <sheet name="Delivery 17.06" sheetId="54" r:id="rId44"/>
    <sheet name="22.06.26" sheetId="55" r:id="rId45"/>
    <sheet name="24.06.26" sheetId="57" r:id="rId46"/>
  </sheets>
  <definedNames>
    <definedName name="_xlnm._FilterDatabase" localSheetId="28" hidden="1">'April Summary'!$A$1:$L$1</definedName>
    <definedName name="_xlnm._FilterDatabase" localSheetId="0" hidden="1">Foglio1!$A$1:$R$1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57" l="1"/>
  <c r="E20" i="57"/>
  <c r="E19" i="57"/>
  <c r="E18" i="57"/>
  <c r="E17" i="57"/>
  <c r="E16" i="57"/>
  <c r="E15" i="57"/>
  <c r="E14" i="57"/>
  <c r="E13" i="57"/>
  <c r="E12" i="57"/>
  <c r="E11" i="57"/>
  <c r="E10" i="57"/>
  <c r="E9" i="57"/>
  <c r="E8" i="57"/>
  <c r="E7" i="57"/>
  <c r="E6" i="57"/>
  <c r="E5" i="57"/>
  <c r="E4" i="57"/>
  <c r="E22" i="57" s="1"/>
  <c r="E35" i="55"/>
  <c r="E34" i="55"/>
  <c r="E33" i="55"/>
  <c r="E32" i="55"/>
  <c r="E31" i="55"/>
  <c r="E30" i="55"/>
  <c r="E29" i="55"/>
  <c r="E28" i="55"/>
  <c r="E27" i="55"/>
  <c r="E26" i="55"/>
  <c r="E25" i="55"/>
  <c r="E24" i="55"/>
  <c r="E23" i="55"/>
  <c r="E22" i="55"/>
  <c r="E21" i="55"/>
  <c r="E20" i="55"/>
  <c r="E19" i="55"/>
  <c r="E18" i="55"/>
  <c r="E17" i="55"/>
  <c r="E16" i="55"/>
  <c r="E15" i="55"/>
  <c r="E14" i="55"/>
  <c r="E13" i="55"/>
  <c r="E12" i="55"/>
  <c r="E11" i="55"/>
  <c r="E10" i="55"/>
  <c r="E9" i="55"/>
  <c r="E8" i="55"/>
  <c r="E7" i="55"/>
  <c r="E6" i="55"/>
  <c r="E5" i="55"/>
  <c r="E4" i="55"/>
  <c r="E36" i="55" s="1"/>
  <c r="D27" i="54"/>
  <c r="D26" i="54"/>
  <c r="D25" i="54"/>
  <c r="D24" i="54"/>
  <c r="D23" i="54"/>
  <c r="D22" i="54"/>
  <c r="D21" i="54"/>
  <c r="D20" i="54"/>
  <c r="D19" i="54"/>
  <c r="D18" i="54"/>
  <c r="D17" i="54"/>
  <c r="D16" i="54"/>
  <c r="D15" i="54"/>
  <c r="D14" i="54"/>
  <c r="D13" i="54"/>
  <c r="D12" i="54"/>
  <c r="D11" i="54"/>
  <c r="D10" i="54"/>
  <c r="D9" i="54"/>
  <c r="D8" i="54"/>
  <c r="D7" i="54"/>
  <c r="D6" i="54"/>
  <c r="D5" i="54"/>
  <c r="D28" i="54" s="1"/>
  <c r="D39" i="53"/>
  <c r="D38" i="53"/>
  <c r="D37" i="53"/>
  <c r="D36" i="53"/>
  <c r="D35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D15" i="53"/>
  <c r="D14" i="53"/>
  <c r="D13" i="53"/>
  <c r="D12" i="53"/>
  <c r="D11" i="53"/>
  <c r="D10" i="53"/>
  <c r="D9" i="53"/>
  <c r="D8" i="53"/>
  <c r="D7" i="53"/>
  <c r="D6" i="53"/>
  <c r="D5" i="53"/>
  <c r="D40" i="53" s="1"/>
  <c r="E22" i="51"/>
  <c r="H21" i="52"/>
  <c r="H20" i="52"/>
  <c r="H19" i="52"/>
  <c r="H18" i="52"/>
  <c r="H17" i="52"/>
  <c r="H16" i="52"/>
  <c r="H15" i="52"/>
  <c r="H14" i="52"/>
  <c r="H13" i="52"/>
  <c r="H12" i="52"/>
  <c r="H11" i="52"/>
  <c r="H10" i="52"/>
  <c r="H9" i="52"/>
  <c r="H8" i="52"/>
  <c r="H7" i="52"/>
  <c r="H6" i="52"/>
  <c r="H5" i="52"/>
  <c r="H4" i="52"/>
  <c r="E20" i="52"/>
  <c r="E19" i="52"/>
  <c r="E18" i="52"/>
  <c r="E17" i="52"/>
  <c r="E16" i="52"/>
  <c r="E15" i="52"/>
  <c r="E14" i="52"/>
  <c r="E13" i="52"/>
  <c r="E12" i="52"/>
  <c r="E11" i="52"/>
  <c r="E10" i="52"/>
  <c r="E9" i="52"/>
  <c r="E8" i="52"/>
  <c r="E7" i="52"/>
  <c r="E6" i="52"/>
  <c r="E5" i="52"/>
  <c r="E4" i="52"/>
  <c r="E38" i="51"/>
  <c r="E37" i="51"/>
  <c r="E36" i="51"/>
  <c r="E35" i="51"/>
  <c r="E34" i="51"/>
  <c r="E33" i="51"/>
  <c r="E32" i="51"/>
  <c r="E31" i="51"/>
  <c r="E30" i="51"/>
  <c r="E29" i="51"/>
  <c r="E28" i="51"/>
  <c r="E27" i="51"/>
  <c r="E26" i="51"/>
  <c r="E25" i="51"/>
  <c r="E24" i="51"/>
  <c r="E23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9" i="51"/>
  <c r="E8" i="51"/>
  <c r="E7" i="51"/>
  <c r="E6" i="51"/>
  <c r="E5" i="51"/>
  <c r="E4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5" i="51"/>
  <c r="H14" i="51"/>
  <c r="H13" i="51"/>
  <c r="H12" i="51"/>
  <c r="H11" i="51"/>
  <c r="H10" i="51"/>
  <c r="H9" i="51"/>
  <c r="H8" i="51"/>
  <c r="H7" i="51"/>
  <c r="H6" i="51"/>
  <c r="H5" i="51"/>
  <c r="H4" i="51"/>
  <c r="H31" i="48"/>
  <c r="H30" i="48"/>
  <c r="H29" i="48"/>
  <c r="H28" i="48"/>
  <c r="H27" i="48"/>
  <c r="H26" i="48"/>
  <c r="H25" i="48"/>
  <c r="H24" i="48"/>
  <c r="H23" i="48"/>
  <c r="H22" i="48"/>
  <c r="H34" i="49"/>
  <c r="E34" i="49"/>
  <c r="H33" i="49"/>
  <c r="E33" i="49"/>
  <c r="H32" i="49"/>
  <c r="E32" i="49"/>
  <c r="H31" i="49"/>
  <c r="E31" i="49"/>
  <c r="H30" i="49"/>
  <c r="E30" i="49"/>
  <c r="H29" i="49"/>
  <c r="E29" i="49"/>
  <c r="H28" i="49"/>
  <c r="E28" i="49"/>
  <c r="H27" i="49"/>
  <c r="E27" i="49"/>
  <c r="H26" i="49"/>
  <c r="E26" i="49"/>
  <c r="H25" i="49"/>
  <c r="E25" i="49"/>
  <c r="H24" i="49"/>
  <c r="E24" i="49"/>
  <c r="H23" i="49"/>
  <c r="E23" i="49"/>
  <c r="H22" i="49"/>
  <c r="E22" i="49"/>
  <c r="H21" i="49"/>
  <c r="E21" i="49"/>
  <c r="H20" i="49"/>
  <c r="E20" i="49"/>
  <c r="H19" i="49"/>
  <c r="E19" i="49"/>
  <c r="H18" i="49"/>
  <c r="E18" i="49"/>
  <c r="H17" i="49"/>
  <c r="E17" i="49"/>
  <c r="H16" i="49"/>
  <c r="E16" i="49"/>
  <c r="H15" i="49"/>
  <c r="E15" i="49"/>
  <c r="H14" i="49"/>
  <c r="E14" i="49"/>
  <c r="H13" i="49"/>
  <c r="E13" i="49"/>
  <c r="H12" i="49"/>
  <c r="E12" i="49"/>
  <c r="H11" i="49"/>
  <c r="E11" i="49"/>
  <c r="H10" i="49"/>
  <c r="E10" i="49"/>
  <c r="H9" i="49"/>
  <c r="E9" i="49"/>
  <c r="H8" i="49"/>
  <c r="E8" i="49"/>
  <c r="H7" i="49"/>
  <c r="E7" i="49"/>
  <c r="H6" i="49"/>
  <c r="E6" i="49"/>
  <c r="H5" i="49"/>
  <c r="E5" i="49"/>
  <c r="H4" i="49"/>
  <c r="E4" i="49"/>
  <c r="F21" i="48"/>
  <c r="H21" i="48" s="1"/>
  <c r="F20" i="48"/>
  <c r="H20" i="48" s="1"/>
  <c r="F19" i="48"/>
  <c r="H19" i="48" s="1"/>
  <c r="F18" i="48"/>
  <c r="H18" i="48" s="1"/>
  <c r="F17" i="48"/>
  <c r="H17" i="48" s="1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E3" i="46"/>
  <c r="E4" i="46"/>
  <c r="E5" i="46"/>
  <c r="E6" i="46"/>
  <c r="E7" i="46"/>
  <c r="E8" i="46"/>
  <c r="E9" i="46"/>
  <c r="E10" i="46"/>
  <c r="E11" i="46"/>
  <c r="E12" i="46"/>
  <c r="E13" i="46"/>
  <c r="E14" i="46"/>
  <c r="E2" i="46"/>
  <c r="E15" i="46"/>
  <c r="E29" i="44"/>
  <c r="E11" i="44"/>
  <c r="E3" i="44"/>
  <c r="E4" i="44"/>
  <c r="E5" i="44"/>
  <c r="E6" i="44"/>
  <c r="E7" i="44"/>
  <c r="E8" i="44"/>
  <c r="E9" i="44"/>
  <c r="E10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" i="44"/>
  <c r="E2" i="40"/>
  <c r="E3" i="40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2" i="38"/>
  <c r="E29" i="36"/>
  <c r="E28" i="36"/>
  <c r="E27" i="36"/>
  <c r="E32" i="36"/>
  <c r="E31" i="36"/>
  <c r="E30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E5" i="36"/>
  <c r="E4" i="36"/>
  <c r="E3" i="36"/>
  <c r="E2" i="36"/>
  <c r="E33" i="36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2" i="34"/>
  <c r="E22" i="34"/>
  <c r="E16" i="32"/>
  <c r="E7" i="32"/>
  <c r="E4" i="32"/>
  <c r="E3" i="32"/>
  <c r="E25" i="32"/>
  <c r="E24" i="32"/>
  <c r="E23" i="32"/>
  <c r="E22" i="32"/>
  <c r="E21" i="32"/>
  <c r="E20" i="32"/>
  <c r="E19" i="32"/>
  <c r="E18" i="32"/>
  <c r="E17" i="32"/>
  <c r="E15" i="32"/>
  <c r="E26" i="32" s="1"/>
  <c r="E14" i="32"/>
  <c r="E12" i="32"/>
  <c r="E11" i="32"/>
  <c r="E10" i="32"/>
  <c r="E9" i="32"/>
  <c r="E8" i="32"/>
  <c r="E6" i="32"/>
  <c r="E5" i="32"/>
  <c r="E2" i="32"/>
  <c r="J267" i="31"/>
  <c r="J260" i="31"/>
  <c r="J261" i="31"/>
  <c r="J262" i="31"/>
  <c r="J263" i="31"/>
  <c r="J264" i="31"/>
  <c r="J265" i="31"/>
  <c r="J266" i="31"/>
  <c r="J259" i="31"/>
  <c r="E262" i="31"/>
  <c r="E263" i="31"/>
  <c r="E264" i="31"/>
  <c r="E265" i="31"/>
  <c r="E266" i="31"/>
  <c r="E267" i="31"/>
  <c r="E261" i="31"/>
  <c r="F68" i="31"/>
  <c r="G68" i="31" s="1"/>
  <c r="H68" i="31" s="1"/>
  <c r="F25" i="31"/>
  <c r="G25" i="31" s="1"/>
  <c r="H25" i="31" s="1"/>
  <c r="G197" i="31"/>
  <c r="G180" i="31"/>
  <c r="G170" i="31"/>
  <c r="G155" i="31"/>
  <c r="G141" i="31"/>
  <c r="G119" i="31"/>
  <c r="G104" i="31"/>
  <c r="G85" i="31"/>
  <c r="G255" i="31"/>
  <c r="G239" i="31"/>
  <c r="E202" i="31"/>
  <c r="E201" i="31"/>
  <c r="E200" i="31"/>
  <c r="E199" i="31"/>
  <c r="E198" i="31"/>
  <c r="K268" i="31"/>
  <c r="D268" i="31"/>
  <c r="E255" i="31"/>
  <c r="F255" i="31" s="1"/>
  <c r="F254" i="31"/>
  <c r="E254" i="31"/>
  <c r="E253" i="31"/>
  <c r="F253" i="31" s="1"/>
  <c r="E252" i="31"/>
  <c r="F252" i="31" s="1"/>
  <c r="E251" i="31"/>
  <c r="F251" i="31" s="1"/>
  <c r="E250" i="31"/>
  <c r="F250" i="31" s="1"/>
  <c r="E249" i="31"/>
  <c r="F249" i="31" s="1"/>
  <c r="E248" i="31"/>
  <c r="F248" i="31" s="1"/>
  <c r="E247" i="31"/>
  <c r="F247" i="31" s="1"/>
  <c r="E246" i="31"/>
  <c r="F246" i="31" s="1"/>
  <c r="E245" i="31"/>
  <c r="F245" i="31" s="1"/>
  <c r="E244" i="31"/>
  <c r="F244" i="31" s="1"/>
  <c r="E243" i="31"/>
  <c r="F243" i="31" s="1"/>
  <c r="E242" i="31"/>
  <c r="F242" i="31" s="1"/>
  <c r="E241" i="31"/>
  <c r="F241" i="31" s="1"/>
  <c r="E240" i="31"/>
  <c r="E239" i="31"/>
  <c r="F239" i="31" s="1"/>
  <c r="F238" i="31"/>
  <c r="E238" i="31"/>
  <c r="E237" i="31"/>
  <c r="F237" i="31" s="1"/>
  <c r="E236" i="31"/>
  <c r="F236" i="31" s="1"/>
  <c r="E235" i="31"/>
  <c r="F235" i="31" s="1"/>
  <c r="E234" i="31"/>
  <c r="F234" i="31" s="1"/>
  <c r="E233" i="31"/>
  <c r="F233" i="31" s="1"/>
  <c r="E232" i="31"/>
  <c r="F232" i="31" s="1"/>
  <c r="E231" i="31"/>
  <c r="F231" i="31" s="1"/>
  <c r="E230" i="31"/>
  <c r="F230" i="31" s="1"/>
  <c r="E229" i="31"/>
  <c r="F229" i="31" s="1"/>
  <c r="E228" i="31"/>
  <c r="F228" i="31" s="1"/>
  <c r="E227" i="31"/>
  <c r="F227" i="31" s="1"/>
  <c r="E226" i="31"/>
  <c r="F226" i="31" s="1"/>
  <c r="E225" i="31"/>
  <c r="F225" i="31" s="1"/>
  <c r="E224" i="31"/>
  <c r="F224" i="31" s="1"/>
  <c r="E223" i="31"/>
  <c r="F223" i="31" s="1"/>
  <c r="E222" i="31"/>
  <c r="F222" i="31" s="1"/>
  <c r="E221" i="31"/>
  <c r="F221" i="31" s="1"/>
  <c r="E220" i="31"/>
  <c r="F220" i="31" s="1"/>
  <c r="E219" i="31"/>
  <c r="F219" i="31" s="1"/>
  <c r="E218" i="31"/>
  <c r="F218" i="31" s="1"/>
  <c r="E217" i="31"/>
  <c r="F217" i="31" s="1"/>
  <c r="E216" i="31"/>
  <c r="F216" i="31" s="1"/>
  <c r="E215" i="31"/>
  <c r="F215" i="31" s="1"/>
  <c r="E214" i="31"/>
  <c r="F214" i="31" s="1"/>
  <c r="E213" i="31"/>
  <c r="F213" i="31" s="1"/>
  <c r="E212" i="31"/>
  <c r="F212" i="31" s="1"/>
  <c r="E211" i="31"/>
  <c r="F211" i="31" s="1"/>
  <c r="E210" i="31"/>
  <c r="F210" i="31" s="1"/>
  <c r="E209" i="31"/>
  <c r="F209" i="31" s="1"/>
  <c r="E208" i="31"/>
  <c r="F208" i="31" s="1"/>
  <c r="E207" i="31"/>
  <c r="F207" i="31" s="1"/>
  <c r="E206" i="31"/>
  <c r="F206" i="31" s="1"/>
  <c r="E205" i="31"/>
  <c r="F205" i="31" s="1"/>
  <c r="E204" i="31"/>
  <c r="F204" i="31" s="1"/>
  <c r="E203" i="31"/>
  <c r="E197" i="31"/>
  <c r="F197" i="31" s="1"/>
  <c r="F196" i="31"/>
  <c r="E196" i="31"/>
  <c r="E195" i="31"/>
  <c r="F195" i="31" s="1"/>
  <c r="E194" i="31"/>
  <c r="F194" i="31" s="1"/>
  <c r="E193" i="31"/>
  <c r="F193" i="31" s="1"/>
  <c r="E192" i="31"/>
  <c r="F192" i="31" s="1"/>
  <c r="E191" i="31"/>
  <c r="F191" i="31" s="1"/>
  <c r="E190" i="31"/>
  <c r="F190" i="31" s="1"/>
  <c r="E189" i="31"/>
  <c r="F189" i="31" s="1"/>
  <c r="E188" i="31"/>
  <c r="F188" i="31" s="1"/>
  <c r="E187" i="31"/>
  <c r="F187" i="31" s="1"/>
  <c r="E186" i="31"/>
  <c r="F186" i="31" s="1"/>
  <c r="E185" i="31"/>
  <c r="F185" i="31" s="1"/>
  <c r="E184" i="31"/>
  <c r="F184" i="31" s="1"/>
  <c r="E183" i="31"/>
  <c r="F183" i="31" s="1"/>
  <c r="E182" i="31"/>
  <c r="F182" i="31" s="1"/>
  <c r="E181" i="31"/>
  <c r="E180" i="31"/>
  <c r="F180" i="31" s="1"/>
  <c r="F179" i="31"/>
  <c r="E179" i="31"/>
  <c r="E178" i="31"/>
  <c r="F178" i="31" s="1"/>
  <c r="E177" i="31"/>
  <c r="F177" i="31" s="1"/>
  <c r="E176" i="31"/>
  <c r="F176" i="31" s="1"/>
  <c r="E175" i="31"/>
  <c r="F175" i="31" s="1"/>
  <c r="E174" i="31"/>
  <c r="F174" i="31" s="1"/>
  <c r="E173" i="31"/>
  <c r="F173" i="31" s="1"/>
  <c r="E172" i="31"/>
  <c r="F172" i="31" s="1"/>
  <c r="E171" i="31"/>
  <c r="F171" i="31" s="1"/>
  <c r="F170" i="31"/>
  <c r="E170" i="31"/>
  <c r="E169" i="31"/>
  <c r="F169" i="31" s="1"/>
  <c r="E168" i="31"/>
  <c r="F168" i="31" s="1"/>
  <c r="E167" i="31"/>
  <c r="F167" i="31" s="1"/>
  <c r="E166" i="31"/>
  <c r="F166" i="31" s="1"/>
  <c r="E165" i="31"/>
  <c r="F165" i="31" s="1"/>
  <c r="E164" i="31"/>
  <c r="F164" i="31" s="1"/>
  <c r="E163" i="31"/>
  <c r="F163" i="31" s="1"/>
  <c r="E162" i="31"/>
  <c r="F162" i="31" s="1"/>
  <c r="E161" i="31"/>
  <c r="F161" i="31" s="1"/>
  <c r="E160" i="31"/>
  <c r="F160" i="31" s="1"/>
  <c r="E159" i="31"/>
  <c r="F159" i="31" s="1"/>
  <c r="E158" i="31"/>
  <c r="F158" i="31" s="1"/>
  <c r="E157" i="31"/>
  <c r="F157" i="31" s="1"/>
  <c r="E156" i="31"/>
  <c r="E155" i="31"/>
  <c r="F155" i="31" s="1"/>
  <c r="F154" i="31"/>
  <c r="E154" i="31"/>
  <c r="E153" i="31"/>
  <c r="F153" i="31" s="1"/>
  <c r="E152" i="31"/>
  <c r="F152" i="31" s="1"/>
  <c r="E151" i="31"/>
  <c r="F151" i="31" s="1"/>
  <c r="E150" i="31"/>
  <c r="F150" i="31" s="1"/>
  <c r="E149" i="31"/>
  <c r="F149" i="31" s="1"/>
  <c r="E148" i="31"/>
  <c r="F148" i="31" s="1"/>
  <c r="E147" i="31"/>
  <c r="F147" i="31" s="1"/>
  <c r="E146" i="31"/>
  <c r="F146" i="31" s="1"/>
  <c r="E145" i="31"/>
  <c r="F145" i="31" s="1"/>
  <c r="E144" i="31"/>
  <c r="F144" i="31" s="1"/>
  <c r="E143" i="31"/>
  <c r="F143" i="31" s="1"/>
  <c r="E142" i="31"/>
  <c r="F142" i="31" s="1"/>
  <c r="F141" i="31"/>
  <c r="E141" i="31"/>
  <c r="E140" i="31"/>
  <c r="F140" i="31" s="1"/>
  <c r="E139" i="31"/>
  <c r="F139" i="31" s="1"/>
  <c r="E138" i="31"/>
  <c r="F138" i="31" s="1"/>
  <c r="E137" i="31"/>
  <c r="F137" i="31" s="1"/>
  <c r="E136" i="31"/>
  <c r="F136" i="31" s="1"/>
  <c r="E135" i="31"/>
  <c r="F135" i="31" s="1"/>
  <c r="E134" i="31"/>
  <c r="F134" i="31" s="1"/>
  <c r="E133" i="31"/>
  <c r="F133" i="31" s="1"/>
  <c r="E132" i="31"/>
  <c r="F132" i="31" s="1"/>
  <c r="E131" i="31"/>
  <c r="F131" i="31" s="1"/>
  <c r="E130" i="31"/>
  <c r="F130" i="31" s="1"/>
  <c r="E129" i="31"/>
  <c r="F129" i="31" s="1"/>
  <c r="E128" i="31"/>
  <c r="F128" i="31" s="1"/>
  <c r="E127" i="31"/>
  <c r="F127" i="31" s="1"/>
  <c r="E126" i="31"/>
  <c r="F126" i="31" s="1"/>
  <c r="E125" i="31"/>
  <c r="F125" i="31" s="1"/>
  <c r="E124" i="31"/>
  <c r="F124" i="31" s="1"/>
  <c r="E123" i="31"/>
  <c r="F123" i="31" s="1"/>
  <c r="E122" i="31"/>
  <c r="F122" i="31" s="1"/>
  <c r="E121" i="31"/>
  <c r="F121" i="31" s="1"/>
  <c r="E120" i="31"/>
  <c r="E119" i="31"/>
  <c r="F119" i="31" s="1"/>
  <c r="F118" i="31"/>
  <c r="E118" i="31"/>
  <c r="E117" i="31"/>
  <c r="F117" i="31" s="1"/>
  <c r="E116" i="31"/>
  <c r="F116" i="31" s="1"/>
  <c r="E115" i="31"/>
  <c r="F115" i="31" s="1"/>
  <c r="E114" i="31"/>
  <c r="F114" i="31" s="1"/>
  <c r="E113" i="31"/>
  <c r="F113" i="31" s="1"/>
  <c r="E112" i="31"/>
  <c r="F112" i="31" s="1"/>
  <c r="E111" i="31"/>
  <c r="F111" i="31" s="1"/>
  <c r="E110" i="31"/>
  <c r="F110" i="31" s="1"/>
  <c r="E109" i="31"/>
  <c r="F109" i="31" s="1"/>
  <c r="E108" i="31"/>
  <c r="F108" i="31" s="1"/>
  <c r="E107" i="31"/>
  <c r="F107" i="31" s="1"/>
  <c r="E106" i="31"/>
  <c r="F106" i="31" s="1"/>
  <c r="E105" i="31"/>
  <c r="F105" i="31" s="1"/>
  <c r="F104" i="31"/>
  <c r="E104" i="31"/>
  <c r="E103" i="31"/>
  <c r="F103" i="31" s="1"/>
  <c r="E102" i="31"/>
  <c r="F102" i="31" s="1"/>
  <c r="E101" i="31"/>
  <c r="F101" i="31" s="1"/>
  <c r="E100" i="31"/>
  <c r="F100" i="31" s="1"/>
  <c r="E99" i="31"/>
  <c r="F99" i="31" s="1"/>
  <c r="E98" i="31"/>
  <c r="F98" i="31" s="1"/>
  <c r="E97" i="31"/>
  <c r="F97" i="31" s="1"/>
  <c r="E96" i="31"/>
  <c r="F96" i="31" s="1"/>
  <c r="E95" i="31"/>
  <c r="F95" i="31" s="1"/>
  <c r="E94" i="31"/>
  <c r="F94" i="31" s="1"/>
  <c r="E93" i="31"/>
  <c r="F93" i="31" s="1"/>
  <c r="E92" i="31"/>
  <c r="F92" i="31" s="1"/>
  <c r="E91" i="31"/>
  <c r="F91" i="31" s="1"/>
  <c r="E90" i="31"/>
  <c r="F90" i="31" s="1"/>
  <c r="E89" i="31"/>
  <c r="F89" i="31" s="1"/>
  <c r="E88" i="31"/>
  <c r="F88" i="31" s="1"/>
  <c r="E87" i="31"/>
  <c r="F87" i="31" s="1"/>
  <c r="E86" i="31"/>
  <c r="E85" i="31"/>
  <c r="F85" i="31" s="1"/>
  <c r="F84" i="31"/>
  <c r="E84" i="31"/>
  <c r="E83" i="31"/>
  <c r="F83" i="31" s="1"/>
  <c r="E82" i="31"/>
  <c r="F82" i="31" s="1"/>
  <c r="E81" i="31"/>
  <c r="F81" i="31" s="1"/>
  <c r="E80" i="31"/>
  <c r="F80" i="31" s="1"/>
  <c r="E79" i="31"/>
  <c r="F79" i="31" s="1"/>
  <c r="E78" i="31"/>
  <c r="F78" i="31" s="1"/>
  <c r="E77" i="31"/>
  <c r="F77" i="31" s="1"/>
  <c r="E76" i="31"/>
  <c r="F76" i="31" s="1"/>
  <c r="E75" i="31"/>
  <c r="F75" i="31" s="1"/>
  <c r="E74" i="31"/>
  <c r="F74" i="31" s="1"/>
  <c r="E73" i="31"/>
  <c r="F73" i="31" s="1"/>
  <c r="E72" i="31"/>
  <c r="F72" i="31" s="1"/>
  <c r="E71" i="31"/>
  <c r="F71" i="31" s="1"/>
  <c r="E70" i="31"/>
  <c r="F70" i="31" s="1"/>
  <c r="E69" i="31"/>
  <c r="F69" i="31" s="1"/>
  <c r="E68" i="31"/>
  <c r="E67" i="31"/>
  <c r="F67" i="31" s="1"/>
  <c r="E66" i="31"/>
  <c r="F66" i="31" s="1"/>
  <c r="E65" i="31"/>
  <c r="F65" i="31" s="1"/>
  <c r="E64" i="31"/>
  <c r="F64" i="31" s="1"/>
  <c r="E63" i="31"/>
  <c r="F63" i="31" s="1"/>
  <c r="E62" i="31"/>
  <c r="F62" i="31" s="1"/>
  <c r="E61" i="31"/>
  <c r="F61" i="31" s="1"/>
  <c r="E60" i="31"/>
  <c r="F60" i="31" s="1"/>
  <c r="E59" i="31"/>
  <c r="F59" i="31" s="1"/>
  <c r="E58" i="31"/>
  <c r="F58" i="31" s="1"/>
  <c r="E57" i="31"/>
  <c r="F57" i="31" s="1"/>
  <c r="E56" i="31"/>
  <c r="F56" i="31" s="1"/>
  <c r="E55" i="31"/>
  <c r="F55" i="31" s="1"/>
  <c r="E54" i="31"/>
  <c r="F54" i="31" s="1"/>
  <c r="E53" i="31"/>
  <c r="F53" i="31" s="1"/>
  <c r="E52" i="31"/>
  <c r="F52" i="31" s="1"/>
  <c r="E51" i="31"/>
  <c r="F51" i="31" s="1"/>
  <c r="E50" i="31"/>
  <c r="F50" i="31" s="1"/>
  <c r="E49" i="31"/>
  <c r="F49" i="31" s="1"/>
  <c r="E48" i="31"/>
  <c r="E47" i="31"/>
  <c r="F47" i="31" s="1"/>
  <c r="E46" i="31"/>
  <c r="F46" i="31" s="1"/>
  <c r="E45" i="31"/>
  <c r="F45" i="31" s="1"/>
  <c r="E44" i="31"/>
  <c r="F44" i="31" s="1"/>
  <c r="E43" i="31"/>
  <c r="F43" i="31" s="1"/>
  <c r="E42" i="31"/>
  <c r="F42" i="31" s="1"/>
  <c r="E41" i="31"/>
  <c r="F41" i="31" s="1"/>
  <c r="E40" i="31"/>
  <c r="F40" i="31" s="1"/>
  <c r="E39" i="31"/>
  <c r="F39" i="31" s="1"/>
  <c r="E38" i="31"/>
  <c r="F38" i="31" s="1"/>
  <c r="E37" i="31"/>
  <c r="F37" i="31" s="1"/>
  <c r="E36" i="31"/>
  <c r="F36" i="31" s="1"/>
  <c r="E35" i="31"/>
  <c r="F35" i="31" s="1"/>
  <c r="E34" i="31"/>
  <c r="F34" i="31" s="1"/>
  <c r="E33" i="31"/>
  <c r="F33" i="31" s="1"/>
  <c r="E32" i="31"/>
  <c r="F32" i="31" s="1"/>
  <c r="E31" i="31"/>
  <c r="F31" i="31" s="1"/>
  <c r="E30" i="31"/>
  <c r="F30" i="31" s="1"/>
  <c r="E29" i="31"/>
  <c r="F29" i="31" s="1"/>
  <c r="E28" i="31"/>
  <c r="F28" i="31" s="1"/>
  <c r="E27" i="31"/>
  <c r="F27" i="31" s="1"/>
  <c r="E26" i="31"/>
  <c r="F26" i="31" s="1"/>
  <c r="E25" i="31"/>
  <c r="E24" i="31"/>
  <c r="F24" i="31" s="1"/>
  <c r="E23" i="31"/>
  <c r="F23" i="31" s="1"/>
  <c r="E22" i="31"/>
  <c r="E21" i="31"/>
  <c r="F21" i="31" s="1"/>
  <c r="E20" i="31"/>
  <c r="F20" i="31" s="1"/>
  <c r="E19" i="31"/>
  <c r="F19" i="31" s="1"/>
  <c r="E18" i="31"/>
  <c r="F18" i="31" s="1"/>
  <c r="E17" i="31"/>
  <c r="F17" i="31" s="1"/>
  <c r="E16" i="31"/>
  <c r="F16" i="31" s="1"/>
  <c r="E15" i="31"/>
  <c r="F15" i="31" s="1"/>
  <c r="E14" i="31"/>
  <c r="F14" i="31" s="1"/>
  <c r="E13" i="31"/>
  <c r="F13" i="31" s="1"/>
  <c r="E12" i="31"/>
  <c r="F12" i="31" s="1"/>
  <c r="E11" i="31"/>
  <c r="F11" i="31" s="1"/>
  <c r="E10" i="31"/>
  <c r="F10" i="31" s="1"/>
  <c r="E9" i="31"/>
  <c r="F9" i="31" s="1"/>
  <c r="E8" i="31"/>
  <c r="F8" i="31" s="1"/>
  <c r="E7" i="31"/>
  <c r="F7" i="31" s="1"/>
  <c r="E6" i="31"/>
  <c r="F6" i="31" s="1"/>
  <c r="E5" i="31"/>
  <c r="F5" i="31" s="1"/>
  <c r="E4" i="31"/>
  <c r="F4" i="31" s="1"/>
  <c r="E3" i="31"/>
  <c r="F3" i="31" s="1"/>
  <c r="E2" i="31"/>
  <c r="F2" i="31" s="1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" i="29"/>
  <c r="G3" i="29"/>
  <c r="G2" i="29"/>
  <c r="G18" i="29" s="1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38" i="28"/>
  <c r="G37" i="28"/>
  <c r="G36" i="28"/>
  <c r="G35" i="28"/>
  <c r="G34" i="28"/>
  <c r="G33" i="28"/>
  <c r="G32" i="28"/>
  <c r="G31" i="28"/>
  <c r="G30" i="28"/>
  <c r="G29" i="28"/>
  <c r="G7" i="28"/>
  <c r="G6" i="28"/>
  <c r="G5" i="28"/>
  <c r="G4" i="28"/>
  <c r="G3" i="28"/>
  <c r="G2" i="28"/>
  <c r="G39" i="28" s="1"/>
  <c r="G11" i="27"/>
  <c r="G10" i="27"/>
  <c r="G12" i="27"/>
  <c r="G6" i="27"/>
  <c r="G18" i="27"/>
  <c r="G17" i="27"/>
  <c r="G16" i="27"/>
  <c r="G15" i="27"/>
  <c r="G14" i="27"/>
  <c r="G13" i="27"/>
  <c r="G9" i="27"/>
  <c r="G7" i="27"/>
  <c r="G5" i="27"/>
  <c r="G4" i="27"/>
  <c r="G3" i="27"/>
  <c r="G2" i="27"/>
  <c r="G8" i="27"/>
  <c r="G19" i="27"/>
  <c r="G18" i="26"/>
  <c r="G26" i="26"/>
  <c r="G25" i="26"/>
  <c r="G24" i="26"/>
  <c r="G23" i="26"/>
  <c r="G22" i="26"/>
  <c r="G21" i="26"/>
  <c r="G20" i="26"/>
  <c r="G19" i="26"/>
  <c r="G16" i="26"/>
  <c r="G17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" i="26"/>
  <c r="G27" i="26" s="1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G2" i="24"/>
  <c r="G38" i="24" s="1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2" i="23"/>
  <c r="G36" i="23" s="1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40" i="22" s="1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" i="22"/>
  <c r="G33" i="21"/>
  <c r="G26" i="21"/>
  <c r="G25" i="21"/>
  <c r="G21" i="21"/>
  <c r="G15" i="21"/>
  <c r="G14" i="21"/>
  <c r="G8" i="21"/>
  <c r="G7" i="21"/>
  <c r="G5" i="21"/>
  <c r="G4" i="21"/>
  <c r="G2" i="21"/>
  <c r="G12" i="21"/>
  <c r="G11" i="21"/>
  <c r="G10" i="21"/>
  <c r="G9" i="21"/>
  <c r="G27" i="21"/>
  <c r="G24" i="21"/>
  <c r="G23" i="21"/>
  <c r="G22" i="21"/>
  <c r="G20" i="21"/>
  <c r="G19" i="21"/>
  <c r="G18" i="21"/>
  <c r="G17" i="21"/>
  <c r="G16" i="21"/>
  <c r="G13" i="21"/>
  <c r="G6" i="21"/>
  <c r="G3" i="21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" i="20"/>
  <c r="G24" i="20"/>
  <c r="K211" i="19"/>
  <c r="D211" i="19"/>
  <c r="B207" i="19"/>
  <c r="F193" i="19"/>
  <c r="F147" i="19"/>
  <c r="F124" i="19"/>
  <c r="B200" i="19"/>
  <c r="B201" i="19"/>
  <c r="B202" i="19"/>
  <c r="B203" i="19"/>
  <c r="B204" i="19"/>
  <c r="B205" i="19"/>
  <c r="B206" i="19"/>
  <c r="B208" i="19"/>
  <c r="B209" i="19"/>
  <c r="B210" i="19"/>
  <c r="E197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4" i="19"/>
  <c r="F195" i="19"/>
  <c r="F196" i="19"/>
  <c r="F2" i="19"/>
  <c r="O85" i="7"/>
  <c r="K85" i="7"/>
  <c r="G33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" i="18"/>
  <c r="F22" i="17"/>
  <c r="G7" i="17"/>
  <c r="G6" i="17"/>
  <c r="G8" i="17"/>
  <c r="G18" i="17"/>
  <c r="G16" i="17"/>
  <c r="G15" i="17"/>
  <c r="G14" i="17"/>
  <c r="G13" i="17"/>
  <c r="G12" i="17"/>
  <c r="G10" i="17"/>
  <c r="G9" i="17"/>
  <c r="G5" i="17"/>
  <c r="G2" i="17"/>
  <c r="G26" i="16"/>
  <c r="G27" i="16"/>
  <c r="G25" i="16"/>
  <c r="G17" i="16"/>
  <c r="G16" i="16"/>
  <c r="G20" i="16"/>
  <c r="G18" i="16"/>
  <c r="G15" i="16"/>
  <c r="G14" i="16"/>
  <c r="G13" i="16"/>
  <c r="F30" i="16" s="1"/>
  <c r="G11" i="16"/>
  <c r="G6" i="16"/>
  <c r="G9" i="16"/>
  <c r="G7" i="16"/>
  <c r="G3" i="16"/>
  <c r="G22" i="16"/>
  <c r="G21" i="16"/>
  <c r="G19" i="16"/>
  <c r="G12" i="16"/>
  <c r="G10" i="16"/>
  <c r="G22" i="15"/>
  <c r="G21" i="15"/>
  <c r="G19" i="15"/>
  <c r="G12" i="15"/>
  <c r="G10" i="15"/>
  <c r="G9" i="15"/>
  <c r="F30" i="15"/>
  <c r="F31" i="14"/>
  <c r="G22" i="14"/>
  <c r="G20" i="14"/>
  <c r="G19" i="14"/>
  <c r="G18" i="14"/>
  <c r="G17" i="14"/>
  <c r="G16" i="14"/>
  <c r="G15" i="14"/>
  <c r="G14" i="14"/>
  <c r="G8" i="14"/>
  <c r="G6" i="14"/>
  <c r="G2" i="14"/>
  <c r="H23" i="8"/>
  <c r="G23" i="8"/>
  <c r="I32" i="11"/>
  <c r="K30" i="11"/>
  <c r="K14" i="13"/>
  <c r="K15" i="13"/>
  <c r="K16" i="13"/>
  <c r="K17" i="13"/>
  <c r="K18" i="13"/>
  <c r="K19" i="13"/>
  <c r="K20" i="13"/>
  <c r="K21" i="13"/>
  <c r="K22" i="13"/>
  <c r="K13" i="13"/>
  <c r="K12" i="13"/>
  <c r="K10" i="13"/>
  <c r="K9" i="13"/>
  <c r="K8" i="13"/>
  <c r="K7" i="13"/>
  <c r="K5" i="13"/>
  <c r="K4" i="13"/>
  <c r="K3" i="13"/>
  <c r="K2" i="13"/>
  <c r="K11" i="13"/>
  <c r="K6" i="13"/>
  <c r="J3" i="5"/>
  <c r="G20" i="8"/>
  <c r="G19" i="8"/>
  <c r="G18" i="8"/>
  <c r="G17" i="8"/>
  <c r="I12" i="10"/>
  <c r="I12" i="9"/>
  <c r="H12" i="8"/>
  <c r="J22" i="13"/>
  <c r="J21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3" i="13"/>
  <c r="J24" i="13"/>
  <c r="J25" i="13"/>
  <c r="J26" i="13"/>
  <c r="J27" i="13"/>
  <c r="J28" i="13"/>
  <c r="J29" i="13"/>
  <c r="J30" i="13"/>
  <c r="J8" i="13"/>
  <c r="J7" i="13"/>
  <c r="J6" i="13"/>
  <c r="H32" i="11"/>
  <c r="J30" i="11"/>
  <c r="H32" i="13"/>
  <c r="H31" i="12"/>
  <c r="I31" i="12" s="1"/>
  <c r="G21" i="8" s="1"/>
  <c r="J29" i="11"/>
  <c r="J19" i="11"/>
  <c r="J20" i="11"/>
  <c r="J21" i="11"/>
  <c r="J22" i="11"/>
  <c r="J23" i="11"/>
  <c r="J24" i="11"/>
  <c r="J25" i="11"/>
  <c r="J26" i="11"/>
  <c r="J27" i="11"/>
  <c r="J28" i="11"/>
  <c r="J18" i="11"/>
  <c r="J16" i="11"/>
  <c r="J17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H12" i="10"/>
  <c r="J4" i="10"/>
  <c r="J3" i="10"/>
  <c r="J2" i="10"/>
  <c r="J5" i="10"/>
  <c r="H12" i="9"/>
  <c r="J4" i="9"/>
  <c r="J5" i="9"/>
  <c r="J7" i="9"/>
  <c r="J6" i="9"/>
  <c r="J3" i="9"/>
  <c r="J2" i="9"/>
  <c r="J3" i="8"/>
  <c r="J4" i="8"/>
  <c r="J9" i="8"/>
  <c r="J8" i="8"/>
  <c r="J7" i="8"/>
  <c r="J6" i="8"/>
  <c r="J5" i="8"/>
  <c r="J2" i="8"/>
  <c r="G12" i="8" s="1"/>
  <c r="O102" i="7"/>
  <c r="N102" i="7"/>
  <c r="O83" i="7"/>
  <c r="O81" i="7"/>
  <c r="O80" i="7"/>
  <c r="N80" i="7"/>
  <c r="O23" i="7"/>
  <c r="O22" i="7"/>
  <c r="O21" i="7"/>
  <c r="N21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2" i="7"/>
  <c r="O84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2" i="7"/>
  <c r="O104" i="7"/>
  <c r="N58" i="7"/>
  <c r="N50" i="7"/>
  <c r="N51" i="7"/>
  <c r="N52" i="7"/>
  <c r="N53" i="7"/>
  <c r="N54" i="7"/>
  <c r="N55" i="7"/>
  <c r="N56" i="7"/>
  <c r="N57" i="7"/>
  <c r="N59" i="7"/>
  <c r="N60" i="7"/>
  <c r="N61" i="7"/>
  <c r="N62" i="7"/>
  <c r="N42" i="7"/>
  <c r="N43" i="7"/>
  <c r="N44" i="7"/>
  <c r="N45" i="7"/>
  <c r="N46" i="7"/>
  <c r="N47" i="7"/>
  <c r="N48" i="7"/>
  <c r="N49" i="7"/>
  <c r="N41" i="7"/>
  <c r="N40" i="7"/>
  <c r="N38" i="7"/>
  <c r="N29" i="7"/>
  <c r="N28" i="7"/>
  <c r="N27" i="7"/>
  <c r="N26" i="7"/>
  <c r="N25" i="7"/>
  <c r="N19" i="7"/>
  <c r="N14" i="7"/>
  <c r="N12" i="7"/>
  <c r="N11" i="7"/>
  <c r="N10" i="7"/>
  <c r="N9" i="7"/>
  <c r="N6" i="7"/>
  <c r="N3" i="7"/>
  <c r="N4" i="7"/>
  <c r="N5" i="7"/>
  <c r="N7" i="7"/>
  <c r="N20" i="7"/>
  <c r="N22" i="7"/>
  <c r="N23" i="7"/>
  <c r="N24" i="7"/>
  <c r="N30" i="7"/>
  <c r="N31" i="7"/>
  <c r="N32" i="7"/>
  <c r="N33" i="7"/>
  <c r="N34" i="7"/>
  <c r="N35" i="7"/>
  <c r="N36" i="7"/>
  <c r="N37" i="7"/>
  <c r="N39" i="7"/>
  <c r="N13" i="7"/>
  <c r="N15" i="7"/>
  <c r="N16" i="7"/>
  <c r="N17" i="7"/>
  <c r="N2" i="7"/>
  <c r="K102" i="7"/>
  <c r="K101" i="7"/>
  <c r="N101" i="7" s="1"/>
  <c r="K100" i="7"/>
  <c r="N100" i="7" s="1"/>
  <c r="K99" i="7"/>
  <c r="N99" i="7" s="1"/>
  <c r="K98" i="7"/>
  <c r="N98" i="7" s="1"/>
  <c r="K97" i="7"/>
  <c r="N97" i="7" s="1"/>
  <c r="K96" i="7"/>
  <c r="N96" i="7" s="1"/>
  <c r="K95" i="7"/>
  <c r="N95" i="7" s="1"/>
  <c r="K94" i="7"/>
  <c r="N94" i="7" s="1"/>
  <c r="K93" i="7"/>
  <c r="N93" i="7" s="1"/>
  <c r="K92" i="7"/>
  <c r="N92" i="7" s="1"/>
  <c r="K91" i="7"/>
  <c r="N91" i="7" s="1"/>
  <c r="K90" i="7"/>
  <c r="N90" i="7" s="1"/>
  <c r="K89" i="7"/>
  <c r="N89" i="7" s="1"/>
  <c r="K88" i="7"/>
  <c r="N88" i="7" s="1"/>
  <c r="K87" i="7"/>
  <c r="N87" i="7" s="1"/>
  <c r="K86" i="7"/>
  <c r="N86" i="7" s="1"/>
  <c r="N85" i="7"/>
  <c r="K84" i="7"/>
  <c r="N84" i="7" s="1"/>
  <c r="K83" i="7"/>
  <c r="N83" i="7" s="1"/>
  <c r="K82" i="7"/>
  <c r="N82" i="7" s="1"/>
  <c r="K81" i="7"/>
  <c r="N81" i="7" s="1"/>
  <c r="K80" i="7"/>
  <c r="K79" i="7"/>
  <c r="N79" i="7" s="1"/>
  <c r="K78" i="7"/>
  <c r="N78" i="7" s="1"/>
  <c r="K77" i="7"/>
  <c r="N77" i="7" s="1"/>
  <c r="K76" i="7"/>
  <c r="N76" i="7" s="1"/>
  <c r="K75" i="7"/>
  <c r="N75" i="7" s="1"/>
  <c r="K74" i="7"/>
  <c r="N74" i="7" s="1"/>
  <c r="K73" i="7"/>
  <c r="N73" i="7" s="1"/>
  <c r="K72" i="7"/>
  <c r="N72" i="7" s="1"/>
  <c r="K71" i="7"/>
  <c r="N71" i="7" s="1"/>
  <c r="K70" i="7"/>
  <c r="N70" i="7" s="1"/>
  <c r="K69" i="7"/>
  <c r="N69" i="7" s="1"/>
  <c r="K68" i="7"/>
  <c r="N68" i="7" s="1"/>
  <c r="K67" i="7"/>
  <c r="N67" i="7" s="1"/>
  <c r="K66" i="7"/>
  <c r="N66" i="7" s="1"/>
  <c r="K65" i="7"/>
  <c r="N65" i="7" s="1"/>
  <c r="K64" i="7"/>
  <c r="N64" i="7" s="1"/>
  <c r="K63" i="7"/>
  <c r="N63" i="7" s="1"/>
  <c r="K62" i="7"/>
  <c r="K61" i="7"/>
  <c r="K60" i="7"/>
  <c r="K59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G25" i="7"/>
  <c r="D25" i="7"/>
  <c r="G9" i="7"/>
  <c r="D9" i="7"/>
  <c r="J2" i="6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" i="5"/>
  <c r="H25" i="5"/>
  <c r="J35" i="4"/>
  <c r="J34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9" i="4"/>
  <c r="J8" i="4"/>
  <c r="J7" i="4"/>
  <c r="J6" i="4"/>
  <c r="J5" i="4"/>
  <c r="J4" i="4"/>
  <c r="J3" i="4"/>
  <c r="J2" i="4"/>
  <c r="J38" i="4" s="1"/>
  <c r="K42" i="2"/>
  <c r="K49" i="3"/>
  <c r="K42" i="3"/>
  <c r="K43" i="3"/>
  <c r="K44" i="3"/>
  <c r="K45" i="3"/>
  <c r="K46" i="3"/>
  <c r="K47" i="3"/>
  <c r="K48" i="3"/>
  <c r="K32" i="3"/>
  <c r="K10" i="3"/>
  <c r="K2" i="3"/>
  <c r="D25" i="3"/>
  <c r="D9" i="3"/>
  <c r="D8" i="3"/>
  <c r="G25" i="2"/>
  <c r="D25" i="2"/>
  <c r="G9" i="2"/>
  <c r="D9" i="2"/>
  <c r="G8" i="2"/>
  <c r="D8" i="2"/>
  <c r="G42" i="1"/>
  <c r="G38" i="1"/>
  <c r="G31" i="1"/>
  <c r="G25" i="1"/>
  <c r="G20" i="1"/>
  <c r="G16" i="1"/>
  <c r="G9" i="1"/>
  <c r="G3" i="1"/>
  <c r="F31" i="1"/>
  <c r="F45" i="1"/>
  <c r="E4" i="1" a="1"/>
  <c r="E4" i="1"/>
  <c r="G4" i="1" s="1"/>
  <c r="E5" i="1" a="1"/>
  <c r="E5" i="1"/>
  <c r="G5" i="1" s="1"/>
  <c r="E6" i="1" a="1"/>
  <c r="E6" i="1"/>
  <c r="G6" i="1" s="1"/>
  <c r="E7" i="1" a="1"/>
  <c r="E7" i="1"/>
  <c r="G7" i="1" s="1"/>
  <c r="E10" i="1" a="1"/>
  <c r="E10" i="1"/>
  <c r="G10" i="1" s="1"/>
  <c r="E11" i="1" a="1"/>
  <c r="E11" i="1"/>
  <c r="G11" i="1" s="1"/>
  <c r="E12" i="1" a="1"/>
  <c r="E12" i="1"/>
  <c r="G12" i="1" s="1"/>
  <c r="E13" i="1" a="1"/>
  <c r="E13" i="1"/>
  <c r="E14" i="1" a="1"/>
  <c r="E14" i="1"/>
  <c r="G14" i="1" s="1"/>
  <c r="E17" i="1" a="1"/>
  <c r="E17" i="1"/>
  <c r="G17" i="1" s="1"/>
  <c r="E18" i="1" a="1"/>
  <c r="E18" i="1"/>
  <c r="E21" i="1" a="1"/>
  <c r="E21" i="1"/>
  <c r="G21" i="1" s="1"/>
  <c r="E22" i="1" a="1"/>
  <c r="E22" i="1"/>
  <c r="G22" i="1" s="1"/>
  <c r="E23" i="1" a="1"/>
  <c r="E23" i="1"/>
  <c r="G23" i="1" s="1"/>
  <c r="E26" i="1" a="1"/>
  <c r="E26" i="1"/>
  <c r="G26" i="1" s="1"/>
  <c r="E27" i="1" a="1"/>
  <c r="E27" i="1"/>
  <c r="G27" i="1" s="1"/>
  <c r="E28" i="1" a="1"/>
  <c r="E28" i="1"/>
  <c r="G28" i="1" s="1"/>
  <c r="E29" i="1" a="1"/>
  <c r="E29" i="1"/>
  <c r="G29" i="1" s="1"/>
  <c r="E32" i="1" a="1"/>
  <c r="E32" i="1"/>
  <c r="E33" i="1" a="1"/>
  <c r="E33" i="1"/>
  <c r="E34" i="1" a="1"/>
  <c r="E34" i="1"/>
  <c r="F34" i="1" s="1"/>
  <c r="E35" i="1" a="1"/>
  <c r="E35" i="1"/>
  <c r="F35" i="1" s="1"/>
  <c r="E36" i="1" a="1"/>
  <c r="E36" i="1"/>
  <c r="F36" i="1" s="1"/>
  <c r="E37" i="1" a="1"/>
  <c r="E37" i="1"/>
  <c r="F37" i="1" s="1"/>
  <c r="E39" i="1" a="1"/>
  <c r="E39" i="1"/>
  <c r="G39" i="1" s="1"/>
  <c r="E40" i="1" a="1"/>
  <c r="E40" i="1"/>
  <c r="G40" i="1" s="1"/>
  <c r="E41" i="1" a="1"/>
  <c r="E41" i="1"/>
  <c r="F41" i="1" s="1"/>
  <c r="E43" i="1" a="1"/>
  <c r="E43" i="1"/>
  <c r="G43" i="1" s="1"/>
  <c r="E44" i="1" a="1"/>
  <c r="E44" i="1"/>
  <c r="G44" i="1" s="1"/>
  <c r="D16" i="1"/>
  <c r="F16" i="1" s="1"/>
  <c r="D7" i="1"/>
  <c r="D9" i="1" a="1"/>
  <c r="D9" i="1"/>
  <c r="F9" i="1" s="1"/>
  <c r="D10" i="1" a="1"/>
  <c r="D10" i="1"/>
  <c r="D11" i="1" a="1"/>
  <c r="D11" i="1"/>
  <c r="D12" i="1" a="1"/>
  <c r="D12" i="1"/>
  <c r="D14" i="1" a="1"/>
  <c r="D14" i="1"/>
  <c r="D17" i="1" a="1"/>
  <c r="D17" i="1"/>
  <c r="D20" i="1" a="1"/>
  <c r="D20" i="1"/>
  <c r="F20" i="1" s="1"/>
  <c r="D21" i="1" a="1"/>
  <c r="D21" i="1"/>
  <c r="D22" i="1" a="1"/>
  <c r="D22" i="1"/>
  <c r="D23" i="1" a="1"/>
  <c r="D23" i="1"/>
  <c r="D25" i="1" a="1"/>
  <c r="D25" i="1"/>
  <c r="F25" i="1" s="1"/>
  <c r="D26" i="1" a="1"/>
  <c r="D26" i="1"/>
  <c r="D27" i="1" a="1"/>
  <c r="D27" i="1"/>
  <c r="D28" i="1" a="1"/>
  <c r="D28" i="1"/>
  <c r="D29" i="1" a="1"/>
  <c r="D29" i="1"/>
  <c r="D32" i="1" a="1"/>
  <c r="D32" i="1"/>
  <c r="D33" i="1" a="1"/>
  <c r="D33" i="1"/>
  <c r="D38" i="1" a="1"/>
  <c r="D38" i="1"/>
  <c r="F38" i="1" s="1"/>
  <c r="D39" i="1" a="1"/>
  <c r="D39" i="1"/>
  <c r="D42" i="1" a="1"/>
  <c r="D42" i="1"/>
  <c r="F42" i="1" s="1"/>
  <c r="D43" i="1" a="1"/>
  <c r="D43" i="1"/>
  <c r="D44" i="1" a="1"/>
  <c r="D44" i="1"/>
  <c r="B6" i="1"/>
  <c r="D6" i="1" s="1" a="1"/>
  <c r="D6" i="1" s="1"/>
  <c r="B5" i="1"/>
  <c r="D5" i="1" s="1" a="1"/>
  <c r="D5" i="1" s="1"/>
  <c r="B4" i="1"/>
  <c r="D4" i="1" s="1" a="1"/>
  <c r="D4" i="1" s="1"/>
  <c r="B3" i="1"/>
  <c r="D3" i="1" s="1" a="1"/>
  <c r="D3" i="1" s="1"/>
  <c r="F3" i="1" s="1"/>
  <c r="H39" i="51" l="1"/>
  <c r="H35" i="49"/>
  <c r="H239" i="31"/>
  <c r="H255" i="31"/>
  <c r="H85" i="31"/>
  <c r="H104" i="31"/>
  <c r="H119" i="31"/>
  <c r="H141" i="31"/>
  <c r="H155" i="31"/>
  <c r="H170" i="31"/>
  <c r="H180" i="31"/>
  <c r="H197" i="31"/>
  <c r="E260" i="31"/>
  <c r="H256" i="31"/>
  <c r="B259" i="31"/>
  <c r="E256" i="31"/>
  <c r="B260" i="31"/>
  <c r="F22" i="31"/>
  <c r="B261" i="31"/>
  <c r="F48" i="31"/>
  <c r="B262" i="31"/>
  <c r="F86" i="31"/>
  <c r="B263" i="31"/>
  <c r="F120" i="31"/>
  <c r="B264" i="31"/>
  <c r="F156" i="31"/>
  <c r="B265" i="31"/>
  <c r="F181" i="31"/>
  <c r="B266" i="31"/>
  <c r="F203" i="31"/>
  <c r="B267" i="31"/>
  <c r="F240" i="31"/>
  <c r="J200" i="19"/>
  <c r="C200" i="19"/>
  <c r="F197" i="19"/>
  <c r="J210" i="19"/>
  <c r="C210" i="19"/>
  <c r="J209" i="19"/>
  <c r="C209" i="19"/>
  <c r="J208" i="19"/>
  <c r="C208" i="19"/>
  <c r="J207" i="19"/>
  <c r="C207" i="19"/>
  <c r="J206" i="19"/>
  <c r="C206" i="19"/>
  <c r="J205" i="19"/>
  <c r="C205" i="19"/>
  <c r="J204" i="19"/>
  <c r="C204" i="19"/>
  <c r="J203" i="19"/>
  <c r="C203" i="19"/>
  <c r="J202" i="19"/>
  <c r="C202" i="19"/>
  <c r="J201" i="19"/>
  <c r="C201" i="19"/>
  <c r="B211" i="19"/>
  <c r="C211" i="19"/>
  <c r="C214" i="19" s="1"/>
  <c r="F18" i="1"/>
  <c r="G18" i="1"/>
  <c r="F13" i="1"/>
  <c r="G13" i="1"/>
  <c r="F44" i="1"/>
  <c r="F43" i="1"/>
  <c r="F40" i="1"/>
  <c r="F39" i="1"/>
  <c r="F33" i="1"/>
  <c r="F32" i="1"/>
  <c r="F29" i="1"/>
  <c r="F28" i="1"/>
  <c r="F27" i="1"/>
  <c r="F26" i="1"/>
  <c r="F23" i="1"/>
  <c r="F22" i="1"/>
  <c r="F21" i="1"/>
  <c r="F17" i="1"/>
  <c r="F14" i="1"/>
  <c r="F12" i="1"/>
  <c r="F11" i="1"/>
  <c r="F10" i="1"/>
  <c r="F7" i="1"/>
  <c r="F6" i="1"/>
  <c r="F5" i="1"/>
  <c r="F4" i="1"/>
  <c r="F46" i="1" s="1"/>
  <c r="C267" i="31" l="1"/>
  <c r="C266" i="31"/>
  <c r="C265" i="31"/>
  <c r="C264" i="31"/>
  <c r="C263" i="31"/>
  <c r="C262" i="31"/>
  <c r="C261" i="31"/>
  <c r="C260" i="31"/>
  <c r="J268" i="31"/>
  <c r="C259" i="31"/>
  <c r="C268" i="31" s="1"/>
  <c r="F256" i="31"/>
  <c r="B268" i="31"/>
  <c r="J211" i="19"/>
  <c r="C271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D5" authorId="0" shapeId="0" xr:uid="{2431C722-3306-4592-927F-A0FD8A144816}">
      <text>
        <r>
          <rPr>
            <sz val="11"/>
            <color theme="1"/>
            <rFont val="Aptos Narrow"/>
            <family val="2"/>
            <scheme val="minor"/>
          </rPr>
          <t>Source: April Summary (Frucht Musley, ~500g pkt) — €2.52</t>
        </r>
      </text>
    </comment>
    <comment ref="D6" authorId="0" shapeId="0" xr:uid="{5EC7A223-FDA7-4BF7-84F9-7D563BBA097E}">
      <text>
        <r>
          <rPr>
            <sz val="11"/>
            <color theme="1"/>
            <rFont val="Aptos Narrow"/>
            <family val="2"/>
            <scheme val="minor"/>
          </rPr>
          <t>Source: April Summary 07.04 (Hafer Musli Fruits 1kg) — €10.05</t>
        </r>
      </text>
    </comment>
    <comment ref="D7" authorId="0" shapeId="0" xr:uid="{3255ECDD-B8F3-49B2-BC03-97694D970831}">
      <text>
        <r>
          <rPr>
            <sz val="11"/>
            <color theme="1"/>
            <rFont val="Aptos Narrow"/>
            <family val="2"/>
            <scheme val="minor"/>
          </rPr>
          <t>Source: April Summary 27.04 (Honey) — €8.49</t>
        </r>
      </text>
    </comment>
    <comment ref="C11" authorId="0" shapeId="0" xr:uid="{8CD7A81A-F985-4009-B8CF-B5928BB04325}">
      <text>
        <r>
          <rPr>
            <sz val="11"/>
            <color theme="1"/>
            <rFont val="Aptos Narrow"/>
            <family val="2"/>
            <scheme val="minor"/>
          </rPr>
          <t>Coca Cola Glass 0.33 l</t>
        </r>
      </text>
    </comment>
    <comment ref="C12" authorId="0" shapeId="0" xr:uid="{5F01CF68-6DF1-4DA8-8F07-6BEE562E06C3}">
      <text>
        <r>
          <rPr>
            <sz val="11"/>
            <color theme="1"/>
            <rFont val="Aptos Narrow"/>
            <family val="2"/>
            <scheme val="minor"/>
          </rPr>
          <t>Fanta Orange Glass 0.2 l</t>
        </r>
      </text>
    </comment>
    <comment ref="C13" authorId="0" shapeId="0" xr:uid="{6295DCCE-807F-47A0-8BCA-5E6DC2E57B9D}">
      <text>
        <r>
          <rPr>
            <sz val="11"/>
            <color theme="1"/>
            <rFont val="Aptos Narrow"/>
            <family val="2"/>
            <scheme val="minor"/>
          </rPr>
          <t>Coca Cola Light Glass 0.33 l</t>
        </r>
      </text>
    </comment>
    <comment ref="C14" authorId="0" shapeId="0" xr:uid="{37748E67-4432-42CC-A92A-1F7D8740FA7E}">
      <text>
        <r>
          <rPr>
            <sz val="11"/>
            <color theme="1"/>
            <rFont val="Aptos Narrow"/>
            <family val="2"/>
            <scheme val="minor"/>
          </rPr>
          <t>Be-kind Protein Dark Chocolate Raspberry 50 g</t>
        </r>
      </text>
    </comment>
    <comment ref="C15" authorId="0" shapeId="0" xr:uid="{FDEB1556-318C-4504-91EA-ACFB0B54097F}">
      <text>
        <r>
          <rPr>
            <sz val="11"/>
            <color theme="1"/>
            <rFont val="Aptos Narrow"/>
            <family val="2"/>
            <scheme val="minor"/>
          </rPr>
          <t>Be-kind Peanut butter Dark Chocolate 40 g</t>
        </r>
      </text>
    </comment>
    <comment ref="C16" authorId="0" shapeId="0" xr:uid="{19E4CE6B-35B1-4F4B-A6EE-10679E47A92A}">
      <text>
        <r>
          <rPr>
            <sz val="11"/>
            <color theme="1"/>
            <rFont val="Aptos Narrow"/>
            <family val="2"/>
            <scheme val="minor"/>
          </rPr>
          <t>Vegan Yoghurt 400 g</t>
        </r>
      </text>
    </comment>
    <comment ref="D20" authorId="0" shapeId="0" xr:uid="{E22A347A-11B7-4730-AC19-6C54A48E83B2}">
      <text>
        <r>
          <rPr>
            <sz val="11"/>
            <color theme="1"/>
            <rFont val="Aptos Narrow"/>
            <family val="2"/>
            <scheme val="minor"/>
          </rPr>
          <t>Derived: €5.248 per 1.5 kg pkt ÷ 1.5 = €3.498/kg (Lemons 1.5 kg stock report)</t>
        </r>
      </text>
    </comment>
    <comment ref="D21" authorId="0" shapeId="0" xr:uid="{484DF003-905A-406E-9FAC-DB4817971E50}">
      <text>
        <r>
          <rPr>
            <sz val="11"/>
            <color theme="1"/>
            <rFont val="Aptos Narrow"/>
            <family val="2"/>
            <scheme val="minor"/>
          </rPr>
          <t>Derived: €1.897 per 200 g (Fresh Ginger Root 200 g) ÷ 0.2 = €9.487/kg</t>
        </r>
      </text>
    </comment>
    <comment ref="D22" authorId="0" shapeId="0" xr:uid="{225BD020-DD14-445D-B6D1-8405BD721AFF}">
      <text>
        <r>
          <rPr>
            <sz val="11"/>
            <color theme="1"/>
            <rFont val="Aptos Narrow"/>
            <family val="2"/>
            <scheme val="minor"/>
          </rPr>
          <t>Derived: €3.30 per 4-piece pkt ÷ 4 = €0.825/piece</t>
        </r>
      </text>
    </comment>
    <comment ref="D23" authorId="0" shapeId="0" xr:uid="{48A08330-915B-4750-9230-061D2BA4D845}">
      <text>
        <r>
          <rPr>
            <sz val="11"/>
            <color theme="1"/>
            <rFont val="Aptos Narrow"/>
            <family val="2"/>
            <scheme val="minor"/>
          </rPr>
          <t>Source: April Summary 15.04 (Plum €2.42/kg used as Nektarine proxy — stone fruit similar price). Please confirm.</t>
        </r>
      </text>
    </comment>
    <comment ref="D24" authorId="0" shapeId="0" xr:uid="{CC310170-BCF7-486A-BF6E-460C676F6929}">
      <text>
        <r>
          <rPr>
            <sz val="11"/>
            <color theme="1"/>
            <rFont val="Aptos Narrow"/>
            <family val="2"/>
            <scheme val="minor"/>
          </rPr>
          <t>Derived: €2.19 per 500 g ÷ 0.5 = €4.38/kg</t>
        </r>
      </text>
    </comment>
    <comment ref="D26" authorId="0" shapeId="0" xr:uid="{AE0BF263-539A-41DA-B139-CC020A8C3392}">
      <text>
        <r>
          <rPr>
            <sz val="11"/>
            <color theme="1"/>
            <rFont val="Aptos Narrow"/>
            <family val="2"/>
            <scheme val="minor"/>
          </rPr>
          <t>Derived from Orange 3 kg box: €4.909/kg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D2" authorId="0" shapeId="0" xr:uid="{04153346-19AA-4938-9FEA-7EFC76995A15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2026-05-19 (Milk 1.5 fat 1L)</t>
        </r>
      </text>
    </comment>
    <comment ref="D3" authorId="0" shapeId="0" xr:uid="{42786A84-C074-40DF-B94B-BCB1FC79506E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2026-05-19 (Milk lactose-free 3.5% 1L)</t>
        </r>
      </text>
    </comment>
    <comment ref="D4" authorId="0" shapeId="0" xr:uid="{0F92E7ED-3B82-4150-A6A4-0561BE6C731C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2026-05-19 (Oat milk 1L)</t>
        </r>
      </text>
    </comment>
    <comment ref="D5" authorId="0" shapeId="0" xr:uid="{D63ADBC4-464E-4DF2-B211-84C313DDC4AF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2026-05-19 (Coconut Milk AroyD 1kg)</t>
        </r>
      </text>
    </comment>
    <comment ref="D6" authorId="0" shapeId="0" xr:uid="{4B988D79-ABB5-45B3-B679-A08C650C3070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2026-05-19 (Almond Milk 1L)</t>
        </r>
      </text>
    </comment>
    <comment ref="D7" authorId="0" shapeId="0" xr:uid="{A2E21644-D7F5-4AB9-BAC2-409C66482790}">
      <text>
        <r>
          <rPr>
            <sz val="11"/>
            <color theme="1"/>
            <rFont val="Aptos Narrow"/>
            <family val="2"/>
            <scheme val="minor"/>
          </rPr>
          <t>Source: Delivery 09.04 &amp; 07.04 historical (Lotus biscuits €1.88/pkt). NOTE: Sheet1 quantity '300 lotus' likely means 300 individual pieces or could be a pack count — please confirm. If kg, recent price was €13.89/kg (Delivery 27.04).</t>
        </r>
      </text>
    </comment>
    <comment ref="D8" authorId="0" shapeId="0" xr:uid="{D0C0AA49-63A3-4A9E-AE79-1FFB83987F28}">
      <text>
        <r>
          <rPr>
            <sz val="11"/>
            <color theme="1"/>
            <rFont val="Aptos Narrow"/>
            <family val="2"/>
            <scheme val="minor"/>
          </rPr>
          <t>Item not found in 2026-05-19 stock report or prior delivery sheets. Please add price.</t>
        </r>
      </text>
    </comment>
    <comment ref="D9" authorId="0" shapeId="0" xr:uid="{E62D8683-F985-434A-BA20-FE7B85759657}">
      <text>
        <r>
          <rPr>
            <sz val="11"/>
            <color theme="1"/>
            <rFont val="Aptos Narrow"/>
            <family val="2"/>
            <scheme val="minor"/>
          </rPr>
          <t>Item not found in 2026-05-19 stock report or prior delivery sheets. Please add price.</t>
        </r>
      </text>
    </comment>
    <comment ref="D10" authorId="0" shapeId="0" xr:uid="{97D8BE7D-C456-4D8B-A7B7-BA94278974F2}">
      <text>
        <r>
          <rPr>
            <sz val="11"/>
            <color theme="1"/>
            <rFont val="Aptos Narrow"/>
            <family val="2"/>
            <scheme val="minor"/>
          </rPr>
          <t>1L pineapple juice not in 2026-05-19 stock report (only Jarritos Pineapple 370ml at €1.54). Please add price.</t>
        </r>
      </text>
    </comment>
    <comment ref="D11" authorId="0" shapeId="0" xr:uid="{A5ED4348-3B3D-4D56-9EEE-F91E5ACFE9C1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2026-05-19 (FJ Rauch Bio Maracuja Schorle 0.33L)</t>
        </r>
      </text>
    </comment>
    <comment ref="D12" authorId="0" shapeId="0" xr:uid="{E2001ECD-ED91-4CE1-B604-425CD7B03C8B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2026-05-19 (ChariTea Black/Green bottle 330ml €1.59; Mate €1.57). Using €1.59 average.</t>
        </r>
      </text>
    </comment>
    <comment ref="D13" authorId="0" shapeId="0" xr:uid="{2C519A14-7F5B-4B52-AB05-3151623A6B1B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2026-05-19 (Corny choco banana / chocolate / free joghurt / free hazelnut 6-piece all €2.29)</t>
        </r>
      </text>
    </comment>
    <comment ref="D14" authorId="0" shapeId="0" xr:uid="{C2BA00AA-772D-4B68-A088-53E540BA9EE7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2026-05-19 (Be-kind Peanut butter Dark Chocolate 40g)</t>
        </r>
      </text>
    </comment>
    <comment ref="D15" authorId="0" shapeId="0" xr:uid="{255D00C6-6DDF-4509-A396-6B5DA46BFC4E}">
      <text>
        <r>
          <rPr>
            <sz val="11"/>
            <color theme="1"/>
            <rFont val="Aptos Narrow"/>
            <family val="2"/>
            <scheme val="minor"/>
          </rPr>
          <t>Ayran not found in 2026-05-19 stock report or recent delivery sheets. Please add price.</t>
        </r>
      </text>
    </comment>
    <comment ref="D16" authorId="0" shapeId="0" xr:uid="{A9974CF5-AD6F-4950-9D6E-CF9501185CA7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2026-05-19: Grapes Green Seedless 500g pkt €2.519 ÷ 0.5 = €5.038/kg</t>
        </r>
      </text>
    </comment>
    <comment ref="D17" authorId="0" shapeId="0" xr:uid="{D797DEA9-3239-48B9-A9DA-57A6D805F86C}">
      <text>
        <r>
          <rPr>
            <sz val="11"/>
            <color theme="1"/>
            <rFont val="Aptos Narrow"/>
            <family val="2"/>
            <scheme val="minor"/>
          </rPr>
          <t>Item 'finger' unclear (likely fingerlimette/finger lime). Not in 2026-05-19 stock report. Please confirm item and add price.</t>
        </r>
      </text>
    </comment>
    <comment ref="D18" authorId="0" shapeId="0" xr:uid="{F9087248-2F07-41ED-9B8E-6A64F63C4D86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2026-05-19: Lemons 1.5kg pkt €5.261 ÷ 1.5 = €3.507/kg</t>
        </r>
      </text>
    </comment>
    <comment ref="D19" authorId="0" shapeId="0" xr:uid="{21D1135D-1AF7-46B5-9675-2E750ECB332A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2026-05-19 (Apple 1kg)</t>
        </r>
      </text>
    </comment>
    <comment ref="D20" authorId="0" shapeId="0" xr:uid="{E81FD1B0-423A-43DA-9BCD-726CA3AD079C}">
      <text>
        <r>
          <rPr>
            <sz val="11"/>
            <color theme="1"/>
            <rFont val="Aptos Narrow"/>
            <family val="2"/>
            <scheme val="minor"/>
          </rPr>
          <t>Source: Delivery 15.04.26 historical (Plum/Nektarine €2.42/kg). Not in 2026-05-19 stock report.</t>
        </r>
      </text>
    </comment>
    <comment ref="D21" authorId="0" shapeId="0" xr:uid="{9A577E4A-3720-4EC2-B52E-626A5E4408E8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2026-05-19 (Peaches 1kg)</t>
        </r>
      </text>
    </comment>
    <comment ref="D22" authorId="0" shapeId="0" xr:uid="{C81D9882-0939-40B7-B0DC-93158536F846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2026-05-19: Plum 500g €2.367 ÷ 0.5 = €4.734/kg</t>
        </r>
      </text>
    </comment>
    <comment ref="D23" authorId="0" shapeId="0" xr:uid="{7E8F597E-488C-4DF7-A9BC-6206988181DB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2026-05-19: Orange 3kg box €5.167 ÷ 3 = €1.722/kg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D2" authorId="0" shapeId="0" xr:uid="{83051353-F4AD-4325-BD87-BF55A90BCE87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(Fanta Orange Glass 0.33L)</t>
        </r>
      </text>
    </comment>
    <comment ref="D3" authorId="0" shapeId="0" xr:uid="{B1AE4137-C5A4-4134-AB5B-AC1CA38F6F6B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(Coca Cola Glass 0.33L)</t>
        </r>
      </text>
    </comment>
    <comment ref="D4" authorId="0" shapeId="0" xr:uid="{319ECDB0-90A1-401D-B283-CEC4BEFCABC5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(Coca Cola Light Glass 0.33L)</t>
        </r>
      </text>
    </comment>
    <comment ref="D5" authorId="0" shapeId="0" xr:uid="{6E988E02-FE14-47B0-979C-592E703FE097}">
      <text>
        <r>
          <rPr>
            <sz val="11"/>
            <color theme="1"/>
            <rFont val="Aptos Narrow"/>
            <family val="2"/>
            <scheme val="minor"/>
          </rPr>
          <t>Fanta Exotic not found in 2026-05-21 stock report or prior delivery sheets. Please add price.</t>
        </r>
      </text>
    </comment>
    <comment ref="D6" authorId="0" shapeId="0" xr:uid="{572142A4-2D9F-4A9D-90BC-1D3B6FFB2CE6}">
      <text>
        <r>
          <rPr>
            <sz val="11"/>
            <color theme="1"/>
            <rFont val="Aptos Narrow"/>
            <family val="2"/>
            <scheme val="minor"/>
          </rPr>
          <t>Generic '1kg' muesli not separately in 2026-05-21 stock report (only 1500g €8.29 and 2kg €10.05). Please add price.</t>
        </r>
      </text>
    </comment>
    <comment ref="D7" authorId="0" shapeId="0" xr:uid="{240F0969-BD4D-4FAA-A398-548E70F35976}">
      <text>
        <r>
          <rPr>
            <sz val="11"/>
            <color theme="1"/>
            <rFont val="Aptos Narrow"/>
            <family val="2"/>
            <scheme val="minor"/>
          </rPr>
          <t>500g muesli not in 2026-05-21 stock report. Please add price.</t>
        </r>
      </text>
    </comment>
    <comment ref="D8" authorId="0" shapeId="0" xr:uid="{3ACD2B84-923E-4EDA-B071-455124C760F8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(Chocolate Muesli 2kg €10.05). Closest match; please confirm size.</t>
        </r>
      </text>
    </comment>
    <comment ref="D9" authorId="0" shapeId="0" xr:uid="{6E342E7F-A8EA-4302-8353-B739CE77A28B}">
      <text>
        <r>
          <rPr>
            <sz val="11"/>
            <color theme="1"/>
            <rFont val="Aptos Narrow"/>
            <family val="2"/>
            <scheme val="minor"/>
          </rPr>
          <t>Honig-Nuss variant not in 2026-05-21 stock report. Please add price.</t>
        </r>
      </text>
    </comment>
    <comment ref="D10" authorId="0" shapeId="0" xr:uid="{6DB37CBA-67E9-4562-A715-1B42050E9369}">
      <text>
        <r>
          <rPr>
            <sz val="11"/>
            <color theme="1"/>
            <rFont val="Aptos Narrow"/>
            <family val="2"/>
            <scheme val="minor"/>
          </rPr>
          <t>Bircher Hafer variant not in 2026-05-21 stock report. Please add price.</t>
        </r>
      </text>
    </comment>
    <comment ref="D11" authorId="0" shapeId="0" xr:uid="{1FE08A77-BED9-4DF8-974D-248FAFE85E6A}">
      <text>
        <r>
          <rPr>
            <sz val="11"/>
            <color theme="1"/>
            <rFont val="Aptos Narrow"/>
            <family val="2"/>
            <scheme val="minor"/>
          </rPr>
          <t>Vitals variant not in 2026-05-21 stock report. Please add price.</t>
        </r>
      </text>
    </comment>
    <comment ref="D12" authorId="0" shapeId="0" xr:uid="{D197F3EF-F162-4297-9B23-48E5C7447AB4}">
      <text>
        <r>
          <rPr>
            <sz val="11"/>
            <color theme="1"/>
            <rFont val="Aptos Narrow"/>
            <family val="2"/>
            <scheme val="minor"/>
          </rPr>
          <t>Source: Delivery 13.04 &amp; 15.04.26 historical (Fruit Mix €11.54/kg). Not separately in 2026-05-21 stock report.</t>
        </r>
      </text>
    </comment>
    <comment ref="D13" authorId="0" shapeId="0" xr:uid="{93772624-667C-4869-915E-5A895E4833F6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(Mix Nuts 1kg €10.22)</t>
        </r>
      </text>
    </comment>
    <comment ref="D14" authorId="0" shapeId="0" xr:uid="{B3D6C2F9-E686-4A31-8159-4335FA957A91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(Sunflower Seeds 1kg)</t>
        </r>
      </text>
    </comment>
    <comment ref="D15" authorId="0" shapeId="0" xr:uid="{F5D24848-BB66-477B-9D2C-63DB41F9C516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(Pumpkin Seeds 1kg)</t>
        </r>
      </text>
    </comment>
    <comment ref="D16" authorId="0" shapeId="0" xr:uid="{4A375FD0-BBBD-4C49-B017-89619AAF826C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(Lactose Free Yoghurt 400g)</t>
        </r>
      </text>
    </comment>
    <comment ref="D17" authorId="0" shapeId="0" xr:uid="{EBEC349E-1F42-407B-901D-308DA7CAEB02}">
      <text>
        <r>
          <rPr>
            <sz val="11"/>
            <color theme="1"/>
            <rFont val="Aptos Narrow"/>
            <family val="2"/>
            <scheme val="minor"/>
          </rPr>
          <t>Source: Delivery 09.04, 13.04 &amp; 15.04.26 historical (Bauer mild fruit yogurt 20x100g KT €6.49). Not in 2026-05-21 stock report.</t>
        </r>
      </text>
    </comment>
    <comment ref="D18" authorId="0" shapeId="0" xr:uid="{9912A0D2-FA0B-4FAC-A4F4-F85A7F6C05A2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2026-05-21: Skyr 5kg €13.875 ÷ 5kg × 1.6kg = €4.44 for 4x400g pack. Please confirm packaging.</t>
        </r>
      </text>
    </comment>
    <comment ref="D19" authorId="0" shapeId="0" xr:uid="{ADF93A52-DF90-4E00-B2A1-99BA6A3DDA4C}">
      <text>
        <r>
          <rPr>
            <sz val="11"/>
            <color theme="1"/>
            <rFont val="Aptos Narrow"/>
            <family val="2"/>
            <scheme val="minor"/>
          </rPr>
          <t>Source: Delivery 15.04.26 historical (Alpro Natural Yogurt €1.49/stk × 6 = €8.94). Not separately in 2026-05-21 stock report.</t>
        </r>
      </text>
    </comment>
    <comment ref="D20" authorId="0" shapeId="0" xr:uid="{E1830F19-EDC3-487C-A490-969B7E299E8A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(Lemons 1.5kg pkt)</t>
        </r>
      </text>
    </comment>
    <comment ref="D21" authorId="0" shapeId="0" xr:uid="{976A24C6-0442-4C39-A4BE-409BEF7875FA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2026-05-21: Grapes Red Seedless 500g €2.593 ÷ 0.5 = €5.186/kg</t>
        </r>
      </text>
    </comment>
    <comment ref="D22" authorId="0" shapeId="0" xr:uid="{1A144006-903D-4B2E-BAC1-FCEAEF00B875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2026-05-21: Orange 3kg box €5.068 ÷ 3 = €1.689/kg</t>
        </r>
      </text>
    </comment>
    <comment ref="D23" authorId="0" shapeId="0" xr:uid="{A174BFFD-E99D-4BB3-B49C-F83E85D568B1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(Apricots 1kg)</t>
        </r>
      </text>
    </comment>
    <comment ref="D24" authorId="0" shapeId="0" xr:uid="{3C4C660D-D7A4-458F-984E-CB3C1AAFE61C}">
      <text>
        <r>
          <rPr>
            <sz val="11"/>
            <color theme="1"/>
            <rFont val="Aptos Narrow"/>
            <family val="2"/>
            <scheme val="minor"/>
          </rPr>
          <t>Source: previous cost sheet Delivery 18.05 (D20). Not in 2026-05-21 stock report.</t>
        </r>
      </text>
    </comment>
    <comment ref="D25" authorId="0" shapeId="0" xr:uid="{BF43C45E-9CF0-4E42-A059-0B18CBB4DEB0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(Pear 1kg)</t>
        </r>
      </text>
    </comment>
    <comment ref="D26" authorId="0" shapeId="0" xr:uid="{F29D2F43-53C1-48AD-9DF9-4A4B85DFE1B1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(Bananas 1kg)</t>
        </r>
      </text>
    </comment>
    <comment ref="D27" authorId="0" shapeId="0" xr:uid="{E58AD02C-957C-41C1-8518-3BEF580A0AA3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2026-05-21: Plum 500g €2.407 ÷ 0.5 = €4.814/kg</t>
        </r>
      </text>
    </comment>
    <comment ref="D28" authorId="0" shapeId="0" xr:uid="{D711E35D-3659-41F9-8D19-A1B262FF8DFC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(Fresh Ginger Root 200g)</t>
        </r>
      </text>
    </comment>
    <comment ref="D29" authorId="0" shapeId="0" xr:uid="{AA27AA8D-FE28-4E66-8466-6EA5A396A6BF}">
      <text>
        <r>
          <rPr>
            <sz val="11"/>
            <color theme="1"/>
            <rFont val="Aptos Narrow"/>
            <family val="2"/>
            <scheme val="minor"/>
          </rPr>
          <t>Source: Delivery 01.04 &amp; 30.03 historical (Strawberry 500g pkt €3.29). Not separately in 2026-05-21 stock report.</t>
        </r>
      </text>
    </comment>
    <comment ref="D30" authorId="0" shapeId="0" xr:uid="{508B9714-ACB8-4478-90A4-ED8B4E1D2B12}">
      <text>
        <r>
          <rPr>
            <sz val="11"/>
            <color theme="1"/>
            <rFont val="Aptos Narrow"/>
            <family val="2"/>
            <scheme val="minor"/>
          </rPr>
          <t>Source: previous cost sheets Delivery 18.05, 11.05, 06.05 (Bretzel Baked €0.29/stk)</t>
        </r>
      </text>
    </comment>
    <comment ref="D31" authorId="0" shapeId="0" xr:uid="{B450D93F-F428-439E-98EC-94410F906E47}">
      <text>
        <r>
          <rPr>
            <sz val="11"/>
            <color theme="1"/>
            <rFont val="Aptos Narrow"/>
            <family val="2"/>
            <scheme val="minor"/>
          </rPr>
          <t>Source: previous cost sheets Delivery 18.05, 11.05, 06.05, 04.05 (Croissant Mix €0.67/stk)</t>
        </r>
      </text>
    </comment>
    <comment ref="D32" authorId="0" shapeId="0" xr:uid="{79445438-0734-496D-9FEA-333BD20C044F}">
      <text>
        <r>
          <rPr>
            <sz val="11"/>
            <color theme="1"/>
            <rFont val="Aptos Narrow"/>
            <family val="2"/>
            <scheme val="minor"/>
          </rPr>
          <t>Source: previous cost sheet Delivery 18.05 (Bread €2.34/pkt)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D2" authorId="0" shapeId="0" xr:uid="{8F995939-AF34-4240-B1ED-D74354248FDD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(Coca Cola Glass 0.33L = €0.81)</t>
        </r>
      </text>
    </comment>
    <comment ref="D3" authorId="0" shapeId="0" xr:uid="{1F4313FA-8084-4197-B642-94844C00E48D}">
      <text>
        <r>
          <rPr>
            <sz val="11"/>
            <color theme="1"/>
            <rFont val="Aptos Narrow"/>
            <family val="2"/>
            <scheme val="minor"/>
          </rPr>
          <t>Sprite 0.33L appears in stock report 2026-05-28 with 0 stock — no unit price available. Please add price.</t>
        </r>
      </text>
    </comment>
    <comment ref="D4" authorId="0" shapeId="0" xr:uid="{05BF1EDE-E8AC-4C67-A9AB-C028D2AA7029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(Koelln Muesli Honig Nuss 1.7kg = €10.05)</t>
        </r>
      </text>
    </comment>
    <comment ref="D5" authorId="0" shapeId="0" xr:uid="{9D79D217-1D46-4A6C-B270-DC50635CCB84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(Koelln Muesli Bircher Frucht 1.7kg = €10.05)</t>
        </r>
      </text>
    </comment>
    <comment ref="D6" authorId="0" shapeId="0" xr:uid="{07A15C4B-C4DC-4758-9273-95356F28B087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(Chocolate Muesli 2kg = €10.05). Closest match for 'Kolln shoko'; please confirm size.</t>
        </r>
      </text>
    </comment>
    <comment ref="D7" authorId="0" shapeId="0" xr:uid="{9C925978-E96F-42B4-98D9-3947B6E08900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(Muesli 1500g = €8.29). 'Vitals classic' not in report — used generic muesli as proxy. Please confirm.</t>
        </r>
      </text>
    </comment>
    <comment ref="D8" authorId="0" shapeId="0" xr:uid="{2A874FC0-70ED-4CFC-B8EC-91D8B333E3C9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(Lotus Welcome 300ST x 1 piece = €17.36)</t>
        </r>
      </text>
    </comment>
    <comment ref="D9" authorId="0" shapeId="0" xr:uid="{7C58410B-763B-44B6-B6FF-B70A0CBDF9A0}">
      <text>
        <r>
          <rPr>
            <sz val="11"/>
            <color theme="1"/>
            <rFont val="Aptos Narrow"/>
            <family val="2"/>
            <scheme val="minor"/>
          </rPr>
          <t>Source: previous cost sheet Delivery 11.05 (Beef Jerky €1.14/piece). Not in 2026-05-28 stock report. Please confirm.</t>
        </r>
      </text>
    </comment>
    <comment ref="D10" authorId="0" shapeId="0" xr:uid="{DE65E7B6-8CE3-4AA0-9233-D4C1249AD238}">
      <text>
        <r>
          <rPr>
            <sz val="11"/>
            <color theme="1"/>
            <rFont val="Aptos Narrow"/>
            <family val="2"/>
            <scheme val="minor"/>
          </rPr>
          <t>Wanner x12 — item not found in stock report 2026-05-28 or prior delivery sheets. Please add price and confirm item (Wagner pizza?).</t>
        </r>
      </text>
    </comment>
    <comment ref="D11" authorId="0" shapeId="0" xr:uid="{43639C28-B137-4349-B4DB-E31837452388}">
      <text>
        <r>
          <rPr>
            <sz val="11"/>
            <color theme="1"/>
            <rFont val="Aptos Narrow"/>
            <family val="2"/>
            <scheme val="minor"/>
          </rPr>
          <t>Happy Day Pineapple 1L not in 2026-05-28 stock report (only Jarritos Pineapple 370ml bottles). Please add price.</t>
        </r>
      </text>
    </comment>
    <comment ref="D12" authorId="0" shapeId="0" xr:uid="{D4D5DB78-5E78-4A85-A09F-9F43927EDACB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(Raffaello Coconut 230g = €4.50)</t>
        </r>
      </text>
    </comment>
    <comment ref="D13" authorId="0" shapeId="0" xr:uid="{84CF4BF9-6FF1-44E9-B899-80C3168E7C41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(Honey 500g = €3.6875). 'Longness' brand not separately in report; using generic Honey.</t>
        </r>
      </text>
    </comment>
    <comment ref="D14" authorId="0" shapeId="0" xr:uid="{DC51DC16-2126-42B3-B003-964C02CDE348}">
      <text>
        <r>
          <rPr>
            <sz val="11"/>
            <color theme="1"/>
            <rFont val="Aptos Narrow"/>
            <family val="2"/>
            <scheme val="minor"/>
          </rPr>
          <t>Jam 6x350g — only large 3kg bucket jams in 2026-05-28 stock report. Please add price.</t>
        </r>
      </text>
    </comment>
    <comment ref="D15" authorId="0" shapeId="0" xr:uid="{9F9DAE43-53FB-468F-B1DB-3257302AED99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(Fruit Yoghurt 100g x 20 piece = €6.75 per KT). Note: Sheet1 specifies 75g; report has 100g pack — please confirm.</t>
        </r>
      </text>
    </comment>
    <comment ref="D16" authorId="0" shapeId="0" xr:uid="{4F4D5236-85BC-43A2-921E-0DF6137DB3A7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(Lemons 1.5kg pkt)</t>
        </r>
      </text>
    </comment>
    <comment ref="D17" authorId="0" shapeId="0" xr:uid="{33CD56CA-E497-4770-AB0D-851490876E0D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2026-05-21: Grapes Red Seedless 500g €2.593 ÷ 0.5 = €5.186/kg</t>
        </r>
      </text>
    </comment>
    <comment ref="D18" authorId="0" shapeId="0" xr:uid="{96A02D24-C447-4A22-88FC-312F1439E342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2026-05-21: Orange 3kg box €5.068 ÷ 3 = €1.689/kg</t>
        </r>
      </text>
    </comment>
    <comment ref="D19" authorId="0" shapeId="0" xr:uid="{CFF66A70-4FFF-4B29-9283-AEFB842B04D6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(Apricots 1kg)</t>
        </r>
      </text>
    </comment>
    <comment ref="D20" authorId="0" shapeId="0" xr:uid="{41B6212B-8840-4065-B0FF-2ADD56F209A1}">
      <text>
        <r>
          <rPr>
            <sz val="11"/>
            <color theme="1"/>
            <rFont val="Aptos Narrow"/>
            <family val="2"/>
            <scheme val="minor"/>
          </rPr>
          <t>Source: previous cost sheet Delivery 18.05. Not in 2026-05-21 stock report.</t>
        </r>
      </text>
    </comment>
    <comment ref="D21" authorId="0" shapeId="0" xr:uid="{6A59E7DD-85D7-4E97-B43A-369DC75FA154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(Pear 1kg)</t>
        </r>
      </text>
    </comment>
    <comment ref="D22" authorId="0" shapeId="0" xr:uid="{BAD97E96-EACE-4C9B-9EC7-972EA08414A1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(Bananas 1kg)</t>
        </r>
      </text>
    </comment>
    <comment ref="D23" authorId="0" shapeId="0" xr:uid="{198BD4C0-0AEC-4734-855D-EC909CC16A01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2026-05-21: Plum 500g €2.407 ÷ 0.5 = €4.814/kg</t>
        </r>
      </text>
    </comment>
    <comment ref="D24" authorId="0" shapeId="0" xr:uid="{3FFDE81B-935A-42BA-B7FF-A6149885F408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2026-05-21 (Fresh Ginger Root 200g)</t>
        </r>
      </text>
    </comment>
    <comment ref="D25" authorId="0" shapeId="0" xr:uid="{9C7D2AB6-49F8-4052-85FA-1B375D2140C2}">
      <text>
        <r>
          <rPr>
            <sz val="11"/>
            <color theme="1"/>
            <rFont val="Aptos Narrow"/>
            <family val="2"/>
            <scheme val="minor"/>
          </rPr>
          <t>Source: Delivery 01.04 &amp; 30.03 historical (Strawberry 500g pkt €3.29). Not separately in 2026-05-21 stock report.</t>
        </r>
      </text>
    </comment>
    <comment ref="D26" authorId="0" shapeId="0" xr:uid="{F88B93B1-36C3-4962-AB64-7135198FE9ED}">
      <text>
        <r>
          <rPr>
            <sz val="11"/>
            <color theme="1"/>
            <rFont val="Aptos Narrow"/>
            <family val="2"/>
            <scheme val="minor"/>
          </rPr>
          <t>Source: previous cost sheets Delivery 18.05, 11.05, 06.05 (Bretzel Baked €0.29/stk)</t>
        </r>
      </text>
    </comment>
    <comment ref="D27" authorId="0" shapeId="0" xr:uid="{0F3BC3A5-C2B6-43F8-96D7-4CE0D3FC5EF7}">
      <text>
        <r>
          <rPr>
            <sz val="11"/>
            <color theme="1"/>
            <rFont val="Aptos Narrow"/>
            <family val="2"/>
            <scheme val="minor"/>
          </rPr>
          <t>Source: previous cost sheets Delivery 18.05, 11.05, 06.05, 04.05 (Croissant Mix €0.67/stk)</t>
        </r>
      </text>
    </comment>
    <comment ref="D28" authorId="0" shapeId="0" xr:uid="{E86FF79D-0431-4DC9-8123-65E34A7744D9}">
      <text>
        <r>
          <rPr>
            <sz val="11"/>
            <color theme="1"/>
            <rFont val="Aptos Narrow"/>
            <family val="2"/>
            <scheme val="minor"/>
          </rPr>
          <t>Source: previous cost sheet Delivery 18.05 (Bread €2.34/pkt)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D2" authorId="0" shapeId="0" xr:uid="{DAD404F7-72A5-41F9-B0DB-D7F45ABF96CB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(ChariTea Black/Green Bottle 330ml = €1.59)</t>
        </r>
      </text>
    </comment>
    <comment ref="D3" authorId="0" shapeId="0" xr:uid="{4F883E1A-34EF-40E6-836B-F874AE1B2EF8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(Barista H-Milch 3% 1L = €1.79). Note: report has 3% not 3.5%; please confirm.</t>
        </r>
      </text>
    </comment>
    <comment ref="D4" authorId="0" shapeId="0" xr:uid="{144925FA-078F-418A-8FB0-23404F0D11A2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(Oat Milk 1L = €1.4437)</t>
        </r>
      </text>
    </comment>
    <comment ref="D5" authorId="0" shapeId="0" xr:uid="{47D7B3A5-60EB-4AAB-A092-A5EE94B950BF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(Almond Milk 1L = €2.45)</t>
        </r>
      </text>
    </comment>
    <comment ref="D6" authorId="0" shapeId="0" xr:uid="{BA15BACF-85B7-465D-B339-A72A3E9ED585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(Bananas 1kg = €1.6416)</t>
        </r>
      </text>
    </comment>
    <comment ref="D7" authorId="0" shapeId="0" xr:uid="{14A6B9D7-AD2D-4339-8B4B-30D8FC47E3E8}">
      <text>
        <r>
          <rPr>
            <sz val="11"/>
            <color theme="1"/>
            <rFont val="Aptos Narrow"/>
            <family val="2"/>
            <scheme val="minor"/>
          </rPr>
          <t>Derived from prior delivery historical: Strawberry 500g pkt €3.29 × 2 = €6.58/kg. Fresh strawberries not in 2026-05-28 stock report.</t>
        </r>
      </text>
    </comment>
    <comment ref="D8" authorId="0" shapeId="0" xr:uid="{5F7A9E70-44F6-4D08-9F80-B5DDA5BA7F9B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(Nutella 450g = €3.41). Note: report has 450g; sheet says 500g — please confirm.</t>
        </r>
      </text>
    </comment>
    <comment ref="D9" authorId="0" shapeId="0" xr:uid="{C81830A2-62FB-4F0A-84F1-C26BD4BFBCCF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2026-05-28 (Mix Nuts 1kg = €10.22)</t>
        </r>
      </text>
    </comment>
    <comment ref="D10" authorId="0" shapeId="0" xr:uid="{E5C1945D-8398-459C-A880-7FDDBF89ABAF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2026-05-28: Double Chocolate Muffins 12 piece €13.49 ÷ 12 = €1.1242/piece. Please confirm muffin variety.</t>
        </r>
      </text>
    </comment>
    <comment ref="D11" authorId="0" shapeId="0" xr:uid="{FD70EF1D-A97E-4BB4-B452-28F31589DE0E}">
      <text>
        <r>
          <rPr>
            <sz val="11"/>
            <color theme="1"/>
            <rFont val="Aptos Narrow"/>
            <family val="2"/>
            <scheme val="minor"/>
          </rPr>
          <t>Source: previous cost sheets Delivery 18.05, 11.05, 06.05 (Bretzel €0.29/piece). Stock report 2026-05-28 only has 100g x 60-piece pack €38.20.</t>
        </r>
      </text>
    </comment>
    <comment ref="D12" authorId="0" shapeId="0" xr:uid="{FA277AB5-94AB-426C-9CC6-BF32A11EA940}">
      <text>
        <r>
          <rPr>
            <sz val="11"/>
            <color theme="1"/>
            <rFont val="Aptos Narrow"/>
            <family val="2"/>
            <scheme val="minor"/>
          </rPr>
          <t>Source: previous cost sheet Delivery 18.05 (Bread €2.34/pkt). Not separately in 2026-05-28 stock report.</t>
        </r>
      </text>
    </comment>
    <comment ref="D13" authorId="0" shapeId="0" xr:uid="{6B814500-304D-4942-8885-761EBA4EA4BD}">
      <text>
        <r>
          <rPr>
            <sz val="11"/>
            <color theme="1"/>
            <rFont val="Aptos Narrow"/>
            <family val="2"/>
            <scheme val="minor"/>
          </rPr>
          <t>Source: previous cost sheets Delivery 18.05, 11.05, 06.05, 04.05 (Croissant Mix €0.67/piece)</t>
        </r>
      </text>
    </comment>
    <comment ref="D14" authorId="0" shapeId="0" xr:uid="{DF9903C1-89FD-4B56-ADAF-43B46E96A44E}">
      <text>
        <r>
          <rPr>
            <sz val="11"/>
            <color theme="1"/>
            <rFont val="Aptos Narrow"/>
            <family val="2"/>
            <scheme val="minor"/>
          </rPr>
          <t>Derived from Bella &amp; Bona stock report 2026-05-28: Butter Croissant 20 x 60g €9.63 ÷ 20 = €0.4815/piece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G4" authorId="0" shapeId="0" xr:uid="{FAE3E172-0EEA-4899-8EA3-7963027F2E96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'Milk 1.5 fat (1 l)' — no exact 3.5% SKU; value/qty</t>
        </r>
      </text>
    </comment>
    <comment ref="G5" authorId="0" shapeId="0" xr:uid="{54884699-D2CC-4B78-8CFA-EAEAC220F443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'Oat milk 1 l'; value/qty</t>
        </r>
      </text>
    </comment>
    <comment ref="G6" authorId="0" shapeId="0" xr:uid="{E9A3C815-B33A-48EC-BF90-5868878B4C8E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'Muffin Premium Berry BerryLady 130g (36 piece)'; value/qty</t>
        </r>
      </text>
    </comment>
    <comment ref="G7" authorId="0" shapeId="0" xr:uid="{137455AA-9D56-4839-85A9-2F8022F47F6F}">
      <text>
        <r>
          <rPr>
            <sz val="11"/>
            <color theme="1"/>
            <rFont val="Aptos Narrow"/>
            <family val="2"/>
            <scheme val="minor"/>
          </rPr>
          <t>No matching SKU found in stock report</t>
        </r>
      </text>
    </comment>
    <comment ref="G8" authorId="0" shapeId="0" xr:uid="{1BC324A6-3E5D-4233-A520-33F9461E04F2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'Bretzel 18 piece'; value/qty</t>
        </r>
      </text>
    </comment>
    <comment ref="G9" authorId="0" shapeId="0" xr:uid="{56553F22-FC70-4E2C-A691-DF9F2D90F564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'Corny chocolate 6 piece'; value/qty</t>
        </r>
      </text>
    </comment>
    <comment ref="G10" authorId="0" shapeId="0" xr:uid="{BE217BD1-21B3-4FDD-944F-86ECC1418CFD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'Pringles Sour Cream and Onion 40 g'; value/qty</t>
        </r>
      </text>
    </comment>
    <comment ref="G11" authorId="0" shapeId="0" xr:uid="{F99C6938-9449-4ACB-8207-3A1FC356A2EE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'Sprite 0.33 l'; value/qty</t>
        </r>
      </text>
    </comment>
    <comment ref="G12" authorId="0" shapeId="0" xr:uid="{34DAA097-9B07-41E6-BA60-B05AB6578542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'Fanta Orange Glass 0.33 l' — no 'exotic' SKU; value/qty</t>
        </r>
      </text>
    </comment>
    <comment ref="G13" authorId="0" shapeId="0" xr:uid="{01B6937F-398D-47C4-8329-4A24DA584CC7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'Coca Cola Glass 0.33 l' (Cola Zero had 0 stock); value/qty</t>
        </r>
      </text>
    </comment>
    <comment ref="G14" authorId="0" shapeId="0" xr:uid="{D88F1B03-F952-4958-83BF-904633099A3B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'FJ Rauch Bio Apfel Schorle bottle (0.33 l)'; value/qty</t>
        </r>
      </text>
    </comment>
    <comment ref="G15" authorId="0" shapeId="0" xr:uid="{133D08C7-A8B8-44EA-8701-F2929DD5EA25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'FJ Rauch Orange Juice bottle (0.2 l)'; value/qty</t>
        </r>
      </text>
    </comment>
    <comment ref="G16" authorId="0" shapeId="0" xr:uid="{071D1C07-6E8E-424D-8CB9-BC9CBFD4F3FB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'Kombucha 33 l'; value/qty</t>
        </r>
      </text>
    </comment>
    <comment ref="G17" authorId="0" shapeId="0" xr:uid="{8A5864CD-B763-4132-B945-FF418AFFABC6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'Double Chocolate Muffins 12 piece'; value/qty</t>
        </r>
      </text>
    </comment>
    <comment ref="G18" authorId="0" shapeId="0" xr:uid="{4E2F6353-8CF1-4E54-9182-4E5C6785580E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'Bretzel 18 piece'; value/qty</t>
        </r>
      </text>
    </comment>
    <comment ref="G19" authorId="0" shapeId="0" xr:uid="{57D96DCE-C371-4969-B735-949E80D781AE}">
      <text>
        <r>
          <rPr>
            <sz val="11"/>
            <color theme="1"/>
            <rFont val="Aptos Narrow"/>
            <family val="2"/>
            <scheme val="minor"/>
          </rPr>
          <t>No priced Bread SKU in stock report (all 0 stock)</t>
        </r>
      </text>
    </comment>
    <comment ref="G20" authorId="0" shapeId="0" xr:uid="{5A3CC25C-9ED1-4066-AB7D-D019993F9329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'Chocolate Croissant 50 piece (95 g)'; value/qty</t>
        </r>
      </text>
    </comment>
    <comment ref="G21" authorId="0" shapeId="0" xr:uid="{ADE8F992-372D-42B8-8B66-4AA954F1B1E6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'Butter Croissant 20 x (60 g)'; value/qty</t>
        </r>
      </text>
    </comment>
    <comment ref="G22" authorId="0" shapeId="0" xr:uid="{52103B89-235A-437A-8034-9425A62F005B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20.05, Bella &amp; Bona stock report (Lemons 1.5kg pkt = €5.261/kg)</t>
        </r>
      </text>
    </comment>
    <comment ref="G23" authorId="0" shapeId="0" xr:uid="{C111B692-9240-4622-B20C-BA514C5963DC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 (Grapes Red Seedless 500g €2.593 ÷ 0.5 = €5.186/kg)</t>
        </r>
      </text>
    </comment>
    <comment ref="G24" authorId="0" shapeId="0" xr:uid="{164F4599-F7B8-4790-BCB0-00485D94D7FF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 (Orange 3kg box €5.068 ÷ 3 = €1.689/kg)</t>
        </r>
      </text>
    </comment>
    <comment ref="G25" authorId="0" shapeId="0" xr:uid="{A8BE4020-6730-410B-95AE-536AB86381CA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20.05, Bella &amp; Bona stock report (Apricots 1kg = €3.95/kg)</t>
        </r>
      </text>
    </comment>
    <comment ref="G26" authorId="0" shapeId="0" xr:uid="{CC8168B2-E200-4738-86D0-3B3077E9A7F7}">
      <text>
        <r>
          <rPr>
            <sz val="11"/>
            <color theme="1"/>
            <rFont val="Aptos Narrow"/>
            <family val="2"/>
            <scheme val="minor"/>
          </rPr>
          <t>Source: prior cost sheets Delivery 20.05 / 18.05 (Nectarine €4.39/kg)</t>
        </r>
      </text>
    </comment>
    <comment ref="G27" authorId="0" shapeId="0" xr:uid="{2079718F-1BF0-4D72-BDEC-7FB2E2693F57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20.05, Bella &amp; Bona stock report (Bananas 1kg = €1.645/kg)</t>
        </r>
      </text>
    </comment>
    <comment ref="G28" authorId="0" shapeId="0" xr:uid="{F585037D-3552-43F4-92A9-8CE05C920CA8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20.05, Bella &amp; Bona stock report (Pear 1kg = €2.808/kg)</t>
        </r>
      </text>
    </comment>
    <comment ref="G29" authorId="0" shapeId="0" xr:uid="{8C4FD1B0-150A-499E-8E23-0390C2BFF00B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 (Plum 500g €2.407 ÷ 0.5 = €4.814/kg)</t>
        </r>
      </text>
    </comment>
    <comment ref="G30" authorId="0" shapeId="0" xr:uid="{5D5DFB62-B580-4C12-A0E9-03D11B59F4F8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 / 01.04 (Strawberry 500g pkt = €3.29/pack)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G4" authorId="0" shapeId="0" xr:uid="{F1A5F551-895A-46C5-8BAB-B943B8AF48F5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'm&amp;m's Crispy 36 g'; value/qty</t>
        </r>
      </text>
    </comment>
    <comment ref="G5" authorId="0" shapeId="0" xr:uid="{2631F795-9B7A-4CE5-BF3B-7D954ED6D2ED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'Snickers Protein 47 g'; value/qty</t>
        </r>
      </text>
    </comment>
    <comment ref="G6" authorId="0" shapeId="0" xr:uid="{5FE2D7BD-E6CE-403B-962E-1486AB8DD52C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'Manner schnitten original 75 g'; value/qty</t>
        </r>
      </text>
    </comment>
    <comment ref="G7" authorId="0" shapeId="0" xr:uid="{2988DE37-8035-46BC-868A-23B6BE794D9C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'Honey 500 g'; value/qty</t>
        </r>
      </text>
    </comment>
    <comment ref="G8" authorId="0" shapeId="0" xr:uid="{11793096-EF0F-49E5-BAFC-A3FC0EAB9F45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'ChariTea Black Bottle (330 ml)'; value/qty</t>
        </r>
      </text>
    </comment>
    <comment ref="G9" authorId="0" shapeId="0" xr:uid="{F957CAD6-6458-43AB-BC24-8D18650318D4}">
      <text>
        <r>
          <rPr>
            <sz val="11"/>
            <color theme="1"/>
            <rFont val="Aptos Narrow"/>
            <family val="2"/>
            <scheme val="minor"/>
          </rPr>
          <t>Source: prior cost sheets Delivery 20.05 / 13.04 / 15.04.26 (Fruit Mix €11.54/kg)</t>
        </r>
      </text>
    </comment>
    <comment ref="G10" authorId="0" shapeId="0" xr:uid="{BE1CF9A8-ECBA-468F-BD04-1CF40BB89CB9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'Früchte Müsli ohne Zucker Brüggen 1 kg'; value/qty (per kg)</t>
        </r>
      </text>
    </comment>
    <comment ref="G11" authorId="0" shapeId="0" xr:uid="{567086FA-90AF-46EA-9FE4-F68884A11586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11.05 (Beef Jerky €1.14/piece)</t>
        </r>
      </text>
    </comment>
    <comment ref="G12" authorId="0" shapeId="0" xr:uid="{65742841-4844-4825-BC01-E5622F98CCBA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'Be-Kind protein dark chocolate nut 1 piece'; value/qty</t>
        </r>
      </text>
    </comment>
    <comment ref="G13" authorId="0" shapeId="0" xr:uid="{A96FD770-F3C5-4358-AFAC-9246E22379E9}">
      <text>
        <r>
          <rPr>
            <sz val="11"/>
            <color theme="1"/>
            <rFont val="Aptos Narrow"/>
            <family val="2"/>
            <scheme val="minor"/>
          </rPr>
          <t>Reused from Delivery 01.06 (user-adjusted price)</t>
        </r>
      </text>
    </comment>
    <comment ref="G14" authorId="0" shapeId="0" xr:uid="{8FD46B11-67A7-4B9C-8A00-8A0032C9D1FA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'Milk 1.5 fat (1 l)'; value/qty</t>
        </r>
      </text>
    </comment>
    <comment ref="G15" authorId="0" shapeId="0" xr:uid="{B9915061-4689-456E-81AB-75FB227194E4}">
      <text>
        <r>
          <rPr>
            <sz val="11"/>
            <color theme="1"/>
            <rFont val="Aptos Narrow"/>
            <family val="2"/>
            <scheme val="minor"/>
          </rPr>
          <t>Reused from Delivery 01.06 (user-adjusted price)</t>
        </r>
      </text>
    </comment>
    <comment ref="G16" authorId="0" shapeId="0" xr:uid="{CE2ED77B-C258-48EA-8CA5-48CF82A67C1D}">
      <text>
        <r>
          <rPr>
            <sz val="11"/>
            <color theme="1"/>
            <rFont val="Aptos Narrow"/>
            <family val="2"/>
            <scheme val="minor"/>
          </rPr>
          <t>No priced soya milk SKU in stock report (Alpro Soya = 0 stock)</t>
        </r>
      </text>
    </comment>
    <comment ref="G17" authorId="0" shapeId="0" xr:uid="{6A2D24E0-5812-4E12-A183-C516B6D613BA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'Coconut Milk AroyD (1 kg)'; value/qty</t>
        </r>
      </text>
    </comment>
    <comment ref="G18" authorId="0" shapeId="0" xr:uid="{F3B62907-0F55-43D3-B456-91220F917A09}">
      <text>
        <r>
          <rPr>
            <sz val="11"/>
            <color theme="1"/>
            <rFont val="Aptos Narrow"/>
            <family val="2"/>
            <scheme val="minor"/>
          </rPr>
          <t>Reused from Delivery 01.06 'Fiona premium mix' = Muffin Premium Berry BerryLady</t>
        </r>
      </text>
    </comment>
    <comment ref="G19" authorId="0" shapeId="0" xr:uid="{7892650F-0D38-4000-9500-447CA77F0BBE}">
      <text>
        <r>
          <rPr>
            <sz val="11"/>
            <color theme="1"/>
            <rFont val="Aptos Narrow"/>
            <family val="2"/>
            <scheme val="minor"/>
          </rPr>
          <t>Source: prior cost sheet Delivery 20.05 (Lactose Free Yoghurt 400g €1.29/pack); item is 34x400g</t>
        </r>
      </text>
    </comment>
    <comment ref="G20" authorId="0" shapeId="0" xr:uid="{94F68B9C-7BC3-4832-A328-ADC9077B694B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20.05, Bella &amp; Bona stock report (Bananas 1kg €1.645/kg)</t>
        </r>
      </text>
    </comment>
    <comment ref="G21" authorId="0" shapeId="0" xr:uid="{5D927BE1-6464-4E10-A473-39ED61937FA6}">
      <text>
        <r>
          <rPr>
            <sz val="11"/>
            <color theme="1"/>
            <rFont val="Aptos Narrow"/>
            <family val="2"/>
            <scheme val="minor"/>
          </rPr>
          <t>No priced fresh paprika SKU in stock report</t>
        </r>
      </text>
    </comment>
    <comment ref="G22" authorId="0" shapeId="0" xr:uid="{CEE67566-C6EC-4242-858D-1E123AA30358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20.05, Bella &amp; Bona stock report 2026-05-21 (Lemons 1.5kg pkt = €5.261/kg)</t>
        </r>
      </text>
    </comment>
    <comment ref="G23" authorId="0" shapeId="0" xr:uid="{488BEBAF-C7BF-433C-B227-9AC49E3C746D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 (Orange 3kg box €5.068 ÷ 3 = €1.689/kg)</t>
        </r>
      </text>
    </comment>
    <comment ref="G24" authorId="0" shapeId="0" xr:uid="{9A4BCA9F-ABE3-4A07-AA80-B22EFA310B71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'Grapes - Green Seedless 500 g'; value/qty (scaled per kg below)</t>
        </r>
      </text>
    </comment>
    <comment ref="G25" authorId="0" shapeId="0" xr:uid="{1FF78307-961E-4E77-B384-0951AC19CB1E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'Apple 1 kg'; value/qty (per kg)</t>
        </r>
      </text>
    </comment>
    <comment ref="G26" authorId="0" shapeId="0" xr:uid="{BEA8AC00-8332-4D99-9038-57F988ED73E6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'Strawberries 500 g'; value/qty, scaled per kg below</t>
        </r>
      </text>
    </comment>
    <comment ref="G27" authorId="0" shapeId="0" xr:uid="{D3762C04-9CBD-4039-B5F5-938CEF23196C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'Plum 500 g'; value/qty, scaled per kg below</t>
        </r>
      </text>
    </comment>
    <comment ref="G28" authorId="0" shapeId="0" xr:uid="{75E7F3F0-D5A9-4F3A-9F8B-82F204F71CA2}">
      <text>
        <r>
          <rPr>
            <sz val="11"/>
            <color theme="1"/>
            <rFont val="Aptos Narrow"/>
            <family val="2"/>
            <scheme val="minor"/>
          </rPr>
          <t>Source: prior cost sheets Delivery 26.05 / 20.05, Bella &amp; Bona stock report (Apricots 1kg = €3.95/kg)</t>
        </r>
      </text>
    </comment>
    <comment ref="G29" authorId="0" shapeId="0" xr:uid="{44C77D4A-81D7-47E5-89C4-05B8495CD88F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2026-06-07, 'Cherry Tomatoes 1 kg'; value/qty (per kg)</t>
        </r>
      </text>
    </comment>
    <comment ref="G30" authorId="0" shapeId="0" xr:uid="{F3E78BCB-A533-4177-88B0-E088608A56EF}">
      <text>
        <r>
          <rPr>
            <sz val="11"/>
            <color theme="1"/>
            <rFont val="Aptos Narrow"/>
            <family val="2"/>
            <scheme val="minor"/>
          </rPr>
          <t>Reused from Delivery 01.06 (user-adjusted price)</t>
        </r>
      </text>
    </comment>
    <comment ref="G31" authorId="0" shapeId="0" xr:uid="{BFB6C1C6-7DB5-4762-A75E-075D86D8D2CB}">
      <text>
        <r>
          <rPr>
            <sz val="11"/>
            <color theme="1"/>
            <rFont val="Aptos Narrow"/>
            <family val="2"/>
            <scheme val="minor"/>
          </rPr>
          <t>Reused from Delivery 01.06 (user-adjusted price); qty not stated, assumed 10</t>
        </r>
      </text>
    </comment>
    <comment ref="G32" authorId="0" shapeId="0" xr:uid="{5EA4AEB3-E16C-4DC3-BEE3-C8B2759257FB}">
      <text>
        <r>
          <rPr>
            <sz val="11"/>
            <color theme="1"/>
            <rFont val="Aptos Narrow"/>
            <family val="2"/>
            <scheme val="minor"/>
          </rPr>
          <t>Reused from Delivery 01.06 (user-adjusted price)</t>
        </r>
      </text>
    </comment>
    <comment ref="G33" authorId="0" shapeId="0" xr:uid="{9F3D18D5-9D5F-4E84-8636-2F915771B7D6}">
      <text>
        <r>
          <rPr>
            <sz val="11"/>
            <color theme="1"/>
            <rFont val="Aptos Narrow"/>
            <family val="2"/>
            <scheme val="minor"/>
          </rPr>
          <t>Reused from Delivery 01.06 (user-adjusted price)</t>
        </r>
      </text>
    </comment>
    <comment ref="G34" authorId="0" shapeId="0" xr:uid="{2C33D384-18A4-4DD3-8333-60849F686A95}">
      <text>
        <r>
          <rPr>
            <sz val="11"/>
            <color theme="1"/>
            <rFont val="Aptos Narrow"/>
            <family val="2"/>
            <scheme val="minor"/>
          </rPr>
          <t>Reused from Delivery 01.06 (user-adjusted price)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G4" authorId="0" shapeId="0" xr:uid="{F35E5C88-AE28-43AB-8E4D-9EC0570AFF30}">
      <text>
        <r>
          <rPr>
            <sz val="11"/>
            <color theme="1"/>
            <rFont val="Aptos Narrow"/>
            <family val="2"/>
            <scheme val="minor"/>
          </rPr>
          <t>Reused from prior cost sheets (Beef Jerky €1.14/piece); no priced SKU in stock report</t>
        </r>
      </text>
    </comment>
    <comment ref="G5" authorId="0" shapeId="0" xr:uid="{510A8BBC-3A9B-49E6-BDA3-CB24BA315C1F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'Mars Classic 51 g'; value/qty</t>
        </r>
      </text>
    </comment>
    <comment ref="G6" authorId="0" shapeId="0" xr:uid="{B8D574AD-7ECE-4CC9-9E3A-A67EBB60F7A7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'Mars Twix Single 50 g'; value/qty</t>
        </r>
      </text>
    </comment>
    <comment ref="G7" authorId="0" shapeId="0" xr:uid="{2B52A2EB-74C5-4952-AB52-029D56798CB6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'Snickers Protein 47 g'; value/qty</t>
        </r>
      </text>
    </comment>
    <comment ref="G8" authorId="0" shapeId="0" xr:uid="{F66CFF2C-7EE9-4780-9C5A-8942D9C6523D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'Bretzel 18 piece' (closest large-pretzel SKU); value/qty</t>
        </r>
      </text>
    </comment>
    <comment ref="G9" authorId="0" shapeId="0" xr:uid="{D5F436DB-8180-48E2-904B-CF0461E1F56F}">
      <text>
        <r>
          <rPr>
            <sz val="11"/>
            <color theme="1"/>
            <rFont val="Aptos Narrow"/>
            <family val="2"/>
            <scheme val="minor"/>
          </rPr>
          <t>No priced SKU in stock report (Merci Petits 1kg = 0 stock). Please enter price.</t>
        </r>
      </text>
    </comment>
    <comment ref="G10" authorId="0" shapeId="0" xr:uid="{216D6DB5-9C5A-4655-82BB-B49869B3ED22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'Corny chocolate 6 piece'; value/qty</t>
        </r>
      </text>
    </comment>
    <comment ref="G11" authorId="0" shapeId="0" xr:uid="{25541DB5-DB3F-41E6-989B-EEFB1D6919F2}">
      <text>
        <r>
          <rPr>
            <sz val="11"/>
            <color theme="1"/>
            <rFont val="Aptos Narrow"/>
            <family val="2"/>
            <scheme val="minor"/>
          </rPr>
          <t>No 'finelife' chips SKU; proxy = 'Pringles Sour Cream and Onion 40 g' €0.99 from Delivery 01.06. Please confirm.</t>
        </r>
      </text>
    </comment>
    <comment ref="G12" authorId="0" shapeId="0" xr:uid="{7070A3F9-DF57-4F49-822D-2F1B64F82FDC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'Peanuts Metro Chef (1 kg)'; value/qty</t>
        </r>
      </text>
    </comment>
    <comment ref="G13" authorId="0" shapeId="0" xr:uid="{16D7AD6A-5F75-448D-9370-848EF889339E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'Hafer Granola 1 kg'; value/qty</t>
        </r>
      </text>
    </comment>
    <comment ref="G14" authorId="0" shapeId="0" xr:uid="{B3242162-CCD1-4E91-B917-5C5ACC217CCD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'Honey 500 g' €3.5805 × 2 = per kg</t>
        </r>
      </text>
    </comment>
    <comment ref="G15" authorId="0" shapeId="0" xr:uid="{EF13FD06-D6D4-418F-BD8B-9ED7082F85A2}">
      <text>
        <r>
          <rPr>
            <sz val="11"/>
            <color theme="1"/>
            <rFont val="Aptos Narrow"/>
            <family val="2"/>
            <scheme val="minor"/>
          </rPr>
          <t>Reused from Delivery 01.06 (Milk 3.5%); no 3.5% SKU in stock report (Milk 1.5 fat 1l = €1.61)</t>
        </r>
      </text>
    </comment>
    <comment ref="G16" authorId="0" shapeId="0" xr:uid="{58DDD4CB-58B1-4E9F-A8DD-E847E5DBCE2D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'Oat milk 1 l'; value/qty</t>
        </r>
      </text>
    </comment>
    <comment ref="G17" authorId="0" shapeId="0" xr:uid="{1BC2D86E-7B4A-41D2-BB76-E4ED9112204C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'Fanta Orange Glass 0.33 l' (no 0.2l SKU); value/qty</t>
        </r>
      </text>
    </comment>
    <comment ref="G18" authorId="0" shapeId="0" xr:uid="{69EE7E9D-B393-4BD7-BF76-472F0A2B76E3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'Sprite 0.33 l'; value/qty</t>
        </r>
      </text>
    </comment>
    <comment ref="G19" authorId="0" shapeId="0" xr:uid="{7D29979D-F945-47C1-A9DE-228CA0C4FC2C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'Coca Cola Glass 0.33 l'; value/qty</t>
        </r>
      </text>
    </comment>
    <comment ref="G20" authorId="0" shapeId="0" xr:uid="{B11974D3-8A1E-4126-8C4B-3354D497B57F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'Coca Cola Light 0.33 l'; value/qty</t>
        </r>
      </text>
    </comment>
    <comment ref="G21" authorId="0" shapeId="0" xr:uid="{E809FC18-E61A-4831-BFC5-5B8130ECAE7E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'Kombucha 33 l'; value/qty</t>
        </r>
      </text>
    </comment>
    <comment ref="G22" authorId="0" shapeId="0" xr:uid="{1A2E45F6-4A77-43CA-ADD2-AF4E311B3DF4}">
      <text>
        <r>
          <rPr>
            <sz val="11"/>
            <color theme="1"/>
            <rFont val="Aptos Narrow"/>
            <family val="2"/>
            <scheme val="minor"/>
          </rPr>
          <t>Photo not provided — enter fruit items &amp; price.</t>
        </r>
      </text>
    </comment>
    <comment ref="G23" authorId="0" shapeId="0" xr:uid="{D86AD63A-646E-490F-8742-BCD724C5D45F}">
      <text>
        <r>
          <rPr>
            <sz val="11"/>
            <color theme="1"/>
            <rFont val="Aptos Narrow"/>
            <family val="2"/>
            <scheme val="minor"/>
          </rPr>
          <t>Reused from Delivery 01.06/03.06; 'Double Chocolate Muffins 12 piece' value/qty</t>
        </r>
      </text>
    </comment>
    <comment ref="G24" authorId="0" shapeId="0" xr:uid="{D2D9B1A8-457B-4606-A6FC-FC41B5C72C79}">
      <text>
        <r>
          <rPr>
            <sz val="11"/>
            <color theme="1"/>
            <rFont val="Aptos Narrow"/>
            <family val="2"/>
            <scheme val="minor"/>
          </rPr>
          <t>Reused from Delivery 01.06/03.06 (Bretzel piece)</t>
        </r>
      </text>
    </comment>
    <comment ref="G25" authorId="0" shapeId="0" xr:uid="{6B2F3E81-21F6-4C1A-9540-7749BA5157B6}">
      <text>
        <r>
          <rPr>
            <sz val="11"/>
            <color theme="1"/>
            <rFont val="Aptos Narrow"/>
            <family val="2"/>
            <scheme val="minor"/>
          </rPr>
          <t>Reused from Delivery 01.06/03.06; no priced Bread SKU in stock report</t>
        </r>
      </text>
    </comment>
    <comment ref="G26" authorId="0" shapeId="0" xr:uid="{78D0EB02-9700-48F1-A0CD-EE6CCDA2F332}">
      <text>
        <r>
          <rPr>
            <sz val="11"/>
            <color theme="1"/>
            <rFont val="Aptos Narrow"/>
            <family val="2"/>
            <scheme val="minor"/>
          </rPr>
          <t>Reused from Delivery 01.06/03.06; 'Chocolate Croissant 50 piece' value/qty</t>
        </r>
      </text>
    </comment>
    <comment ref="G27" authorId="0" shapeId="0" xr:uid="{1C3FA600-789A-4322-ABE0-4B32952BA1E1}">
      <text>
        <r>
          <rPr>
            <sz val="11"/>
            <color theme="1"/>
            <rFont val="Aptos Narrow"/>
            <family val="2"/>
            <scheme val="minor"/>
          </rPr>
          <t>Reused from Delivery 01.06/03.06; 'Butter Croissant 20 x (60 g)' value/qty</t>
        </r>
      </text>
    </comment>
    <comment ref="G28" authorId="0" shapeId="0" xr:uid="{F0A5191B-3E44-43EB-B150-C1ABFD208ECE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 / prior sheets (Bananas €1.645/kg)</t>
        </r>
      </text>
    </comment>
    <comment ref="G29" authorId="0" shapeId="0" xr:uid="{7AF7B95D-4714-4B67-8F0A-17381E9EF6D4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'Bell Peppers Mix 500 g' €2.17 × 2 = per kg</t>
        </r>
      </text>
    </comment>
    <comment ref="G30" authorId="0" shapeId="0" xr:uid="{A1BE9B74-BFAE-4F96-B6D5-E5701D19C9EC}">
      <text>
        <r>
          <rPr>
            <sz val="11"/>
            <color theme="1"/>
            <rFont val="Aptos Narrow"/>
            <family val="2"/>
            <scheme val="minor"/>
          </rPr>
          <t>Reused from prior cost sheets (Lemons €5.261/kg); no priced fresh-lemon SKU in stock report</t>
        </r>
      </text>
    </comment>
    <comment ref="G31" authorId="0" shapeId="0" xr:uid="{0BDE6EFA-4A49-4603-8BA6-31E029CDD0E6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'Orange 3 kg' box €4.7619 ÷ 3 = per kg</t>
        </r>
      </text>
    </comment>
    <comment ref="G32" authorId="0" shapeId="0" xr:uid="{77929432-B4F6-4A50-BDEB-2F4823C831EA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'Grapes - Red Seedless 500 g' €1.9125 × 2 = per kg</t>
        </r>
      </text>
    </comment>
    <comment ref="G33" authorId="0" shapeId="0" xr:uid="{F14D753F-12C1-4B2C-BE5E-51CB7B3C8255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'Apple 1 kg'; value/qty</t>
        </r>
      </text>
    </comment>
    <comment ref="G34" authorId="0" shapeId="0" xr:uid="{4207F815-25F1-4198-9DAD-4A08885F326C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'Strawberries 500 g'; value/qty (per 500g pack)</t>
        </r>
      </text>
    </comment>
    <comment ref="G35" authorId="0" shapeId="0" xr:uid="{A6EDA3EE-4FD4-4152-AF6E-E5C5AFCDF811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'Plum 500 g' €2.3333 × 2 = per kg</t>
        </r>
      </text>
    </comment>
    <comment ref="G36" authorId="0" shapeId="0" xr:uid="{025D41BF-E328-4E05-97FB-7EDAAEF8AF8B}">
      <text>
        <r>
          <rPr>
            <sz val="11"/>
            <color theme="1"/>
            <rFont val="Aptos Narrow"/>
            <family val="2"/>
            <scheme val="minor"/>
          </rPr>
          <t>Reused from prior cost sheets (Apricots €3.95/kg); no priced SKU in stock report</t>
        </r>
      </text>
    </comment>
    <comment ref="G37" authorId="0" shapeId="0" xr:uid="{45205A47-B875-469B-A94C-941382409FAD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'Pear 1 kg'; value/qty</t>
        </r>
      </text>
    </comment>
    <comment ref="G38" authorId="0" shapeId="0" xr:uid="{FBCFE41C-C8BC-439C-A137-487B1878010C}">
      <text>
        <r>
          <rPr>
            <sz val="11"/>
            <color theme="1"/>
            <rFont val="Aptos Narrow"/>
            <family val="2"/>
            <scheme val="minor"/>
          </rPr>
          <t>Reused from Delivery 01.06/20.05 (Nectarine €4.39/kg); no priced SKU in stock report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Milan Patel</author>
  </authors>
  <commentList>
    <comment ref="G4" authorId="0" shapeId="0" xr:uid="{B487E249-4728-46E5-A347-AAC01FAC78EC}">
      <text>
        <r>
          <rPr>
            <sz val="11"/>
            <color theme="1"/>
            <rFont val="Aptos Narrow"/>
            <family val="2"/>
            <scheme val="minor"/>
          </rPr>
          <t>Reused from prior cost sheets (Lemons €5.261/kg); no priced fresh-lemon SKU in stock report</t>
        </r>
      </text>
    </comment>
    <comment ref="G5" authorId="0" shapeId="0" xr:uid="{F706D922-BB7A-4631-A85A-D0DE7D41AE19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'Grapes - Red Seedless 500 g' €1.9125 × 2 = per kg (Green Seedless = €3.91/kg)</t>
        </r>
      </text>
    </comment>
    <comment ref="G6" authorId="0" shapeId="0" xr:uid="{996D3D6E-388A-4A9C-A8E0-1D3E671B9F8B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'Apple 1 kg'; value/qty</t>
        </r>
      </text>
    </comment>
    <comment ref="G7" authorId="0" shapeId="0" xr:uid="{C3F69D07-7C51-4CEE-9498-1483E60A7A05}">
      <text>
        <r>
          <rPr>
            <sz val="11"/>
            <color theme="1"/>
            <rFont val="Aptos Narrow"/>
            <family val="2"/>
            <scheme val="minor"/>
          </rPr>
          <t>Reused from prior cost sheets (Apricots €3.95/kg); no priced SKU in stock report</t>
        </r>
      </text>
    </comment>
    <comment ref="G8" authorId="0" shapeId="0" xr:uid="{74E8445A-DF2A-4A79-9491-8735140E37F8}">
      <text>
        <r>
          <rPr>
            <sz val="11"/>
            <color theme="1"/>
            <rFont val="Aptos Narrow"/>
            <family val="2"/>
            <scheme val="minor"/>
          </rPr>
          <t>Reused from Delivery 01.06/08.06 (Nectarine €4.39/kg); no priced SKU in stock report</t>
        </r>
      </text>
    </comment>
    <comment ref="G9" authorId="0" shapeId="0" xr:uid="{28B5DD52-18EA-4C42-9265-339939A7D388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'Pear 1 kg'; value/qty</t>
        </r>
      </text>
    </comment>
    <comment ref="G10" authorId="0" shapeId="0" xr:uid="{ED5D7B17-0324-4D83-910F-0078C901140A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'Strawberries 500 g'; value/qty (per 500g pack)</t>
        </r>
      </text>
    </comment>
    <comment ref="G11" authorId="0" shapeId="0" xr:uid="{772CD8E1-C657-47EB-84E9-A3DB0ACC88AF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'Bell Peppers Mix 500 g' €2.17 × 2 = per kg</t>
        </r>
      </text>
    </comment>
    <comment ref="G12" authorId="0" shapeId="0" xr:uid="{AEA9634F-FB74-4804-8521-60CD261C314D}">
      <text>
        <r>
          <rPr>
            <sz val="11"/>
            <color theme="1"/>
            <rFont val="Aptos Narrow"/>
            <family val="2"/>
            <scheme val="minor"/>
          </rPr>
          <t>Estimate: stock report only lists 'Cucumber 1 piece' €0.66; ≈€1.65/kg (~0.4kg/piece). Please confirm.</t>
        </r>
      </text>
    </comment>
    <comment ref="G13" authorId="0" shapeId="0" xr:uid="{4390D6C8-FBA6-41E8-AAF3-03A62EE3AA5C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'Orange 3 kg' box €4.7619 ÷ 3 = per kg</t>
        </r>
      </text>
    </comment>
    <comment ref="G14" authorId="0" shapeId="0" xr:uid="{6777FC72-C0FF-4928-B9C3-31983E0C9A07}">
      <text>
        <r>
          <rPr>
            <sz val="11"/>
            <color theme="1"/>
            <rFont val="Aptos Narrow"/>
            <family val="2"/>
            <scheme val="minor"/>
          </rPr>
          <t>Reused from Delivery 01.06/08.06 (Milk 3.5%); no 3.5% SKU in stock report</t>
        </r>
      </text>
    </comment>
    <comment ref="G15" authorId="0" shapeId="0" xr:uid="{1F97701E-9CAC-4AF6-80B1-2D4995C0AAD0}">
      <text>
        <r>
          <rPr>
            <sz val="11"/>
            <color theme="1"/>
            <rFont val="Aptos Narrow"/>
            <family val="2"/>
            <scheme val="minor"/>
          </rPr>
          <t>Source: Bella &amp; Bona Stock Report 2026-06-14, 'Almond Milk 1 l'; value/qty (per litre)</t>
        </r>
      </text>
    </comment>
    <comment ref="G16" authorId="0" shapeId="0" xr:uid="{E0D734F2-8CDD-42C5-B3C5-C06D8A038920}">
      <text>
        <r>
          <rPr>
            <sz val="11"/>
            <color theme="1"/>
            <rFont val="Aptos Narrow"/>
            <family val="2"/>
            <scheme val="minor"/>
          </rPr>
          <t>Reused from Delivery 01.06/08.06; 'Double Chocolate Muffins 12 piece' value/qty</t>
        </r>
      </text>
    </comment>
    <comment ref="G17" authorId="0" shapeId="0" xr:uid="{006B6889-E4D5-43D6-B90C-4533A4F18665}">
      <text>
        <r>
          <rPr>
            <sz val="11"/>
            <color theme="1"/>
            <rFont val="Aptos Narrow"/>
            <family val="2"/>
            <scheme val="minor"/>
          </rPr>
          <t>Reused from Delivery 01.06/08.06 (Bretzel piece)</t>
        </r>
      </text>
    </comment>
    <comment ref="G18" authorId="0" shapeId="0" xr:uid="{5573BBFA-D297-4B00-9AB0-CE6F72031AA3}">
      <text>
        <r>
          <rPr>
            <sz val="11"/>
            <color theme="1"/>
            <rFont val="Aptos Narrow"/>
            <family val="2"/>
            <scheme val="minor"/>
          </rPr>
          <t>Reused from Delivery 01.06/08.06; no priced Bread SKU in stock report</t>
        </r>
      </text>
    </comment>
    <comment ref="G19" authorId="0" shapeId="0" xr:uid="{8A7B7CB7-0B5E-48B5-AAC0-2D2D3463E30C}">
      <text>
        <r>
          <rPr>
            <sz val="11"/>
            <color theme="1"/>
            <rFont val="Aptos Narrow"/>
            <family val="2"/>
            <scheme val="minor"/>
          </rPr>
          <t>Reused from Delivery 01.06/08.06; 'Chocolate Croissant 50 piece' value/qty</t>
        </r>
      </text>
    </comment>
    <comment ref="G20" authorId="0" shapeId="0" xr:uid="{814C1493-84AC-423E-9AB9-C7166738AE2F}">
      <text>
        <r>
          <rPr>
            <sz val="11"/>
            <color theme="1"/>
            <rFont val="Aptos Narrow"/>
            <family val="2"/>
            <scheme val="minor"/>
          </rPr>
          <t>Reused from Delivery 01.06/08.06; 'Butter Croissant 20 x (60 g)' value/qty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<sst xmlns="http://schemas.openxmlformats.org/spreadsheetml/2006/main" count="3862" uniqueCount="927">
  <si>
    <t>UNIT</t>
  </si>
  <si>
    <t>PRICE PER UNIT</t>
  </si>
  <si>
    <t>AMOUNT</t>
  </si>
  <si>
    <t>TOTAL COST</t>
  </si>
  <si>
    <t>Per delivery</t>
  </si>
  <si>
    <t>🍎 Fresh Fruit</t>
  </si>
  <si>
    <r>
      <t>Bananas</t>
    </r>
    <r>
      <rPr>
        <sz val="11"/>
        <color theme="1"/>
        <rFont val="Aptos Narrow"/>
        <family val="2"/>
        <scheme val="minor"/>
      </rPr>
      <t xml:space="preserve"> – 36 kg</t>
    </r>
  </si>
  <si>
    <t>kg</t>
  </si>
  <si>
    <t>CC</t>
  </si>
  <si>
    <r>
      <t>Apples</t>
    </r>
    <r>
      <rPr>
        <sz val="11"/>
        <color theme="1"/>
        <rFont val="Aptos Narrow"/>
        <family val="2"/>
        <scheme val="minor"/>
      </rPr>
      <t xml:space="preserve"> – 36 kg</t>
    </r>
  </si>
  <si>
    <r>
      <t>Grapes</t>
    </r>
    <r>
      <rPr>
        <sz val="11"/>
        <color theme="1"/>
        <rFont val="Aptos Narrow"/>
        <family val="2"/>
        <scheme val="minor"/>
      </rPr>
      <t xml:space="preserve"> – 8 kg</t>
    </r>
  </si>
  <si>
    <r>
      <t>Berries (mixed)</t>
    </r>
    <r>
      <rPr>
        <sz val="11"/>
        <color theme="1"/>
        <rFont val="Aptos Narrow"/>
        <family val="2"/>
        <scheme val="minor"/>
      </rPr>
      <t xml:space="preserve"> – 6 kg</t>
    </r>
  </si>
  <si>
    <r>
      <rPr>
        <b/>
        <sz val="11"/>
        <color rgb="FF000000"/>
        <rFont val="Aptos Narrow"/>
        <scheme val="minor"/>
      </rPr>
      <t>Oranges / citrus</t>
    </r>
    <r>
      <rPr>
        <sz val="11"/>
        <color rgb="FF000000"/>
        <rFont val="Aptos Narrow"/>
        <scheme val="minor"/>
      </rPr>
      <t xml:space="preserve"> –  pieces (~16 kg depending on size)</t>
    </r>
  </si>
  <si>
    <t>Metro</t>
  </si>
  <si>
    <t>A000065</t>
  </si>
  <si>
    <t>https://lieferservice.metro.de/shop/pv/BTY-Z107/0032/0021/Orangen-3kg</t>
  </si>
  <si>
    <t>🥜 Nuts &amp; Dried Fruit</t>
  </si>
  <si>
    <r>
      <t>Mixed nuts / trail mix (Studentenfutter)</t>
    </r>
    <r>
      <rPr>
        <sz val="11"/>
        <color theme="1"/>
        <rFont val="Aptos Narrow"/>
        <family val="2"/>
        <scheme val="minor"/>
      </rPr>
      <t xml:space="preserve"> – 12 kg</t>
    </r>
  </si>
  <si>
    <t>https://lieferservice.metro.de/shop/pv/BTY-X322800/0032/0022/METRO-Chef-Studentenfutter-mit-Cranberries-4-x-1-kg-Karton</t>
  </si>
  <si>
    <r>
      <t>Almonds</t>
    </r>
    <r>
      <rPr>
        <sz val="11"/>
        <color theme="1"/>
        <rFont val="Aptos Narrow"/>
        <family val="2"/>
        <scheme val="minor"/>
      </rPr>
      <t xml:space="preserve"> – 6 kg</t>
    </r>
  </si>
  <si>
    <t>https://lieferservice.metro.de/shop/pv/BTY-X375651/0032/0021/METRO-Chef-Mandeln-ganz-blanchiert-1-kg-Beutel</t>
  </si>
  <si>
    <r>
      <t>Cashews</t>
    </r>
    <r>
      <rPr>
        <sz val="11"/>
        <color theme="1"/>
        <rFont val="Aptos Narrow"/>
        <family val="2"/>
        <scheme val="minor"/>
      </rPr>
      <t xml:space="preserve"> – 5 kg</t>
    </r>
  </si>
  <si>
    <t>https://lieferservice.metro.de/shop/pv/BTY-X343236/0032/0021/METRO-Chef-Cashewkerne-Gesalzen-Geröstet-1-x-1-kg-Packung</t>
  </si>
  <si>
    <r>
      <t>Walnuts</t>
    </r>
    <r>
      <rPr>
        <sz val="11"/>
        <color theme="1"/>
        <rFont val="Aptos Narrow"/>
        <family val="2"/>
        <scheme val="minor"/>
      </rPr>
      <t xml:space="preserve"> – 4 kg</t>
    </r>
  </si>
  <si>
    <t>https://lieferservice.metro.de/shop/pv/BTY-X381708/0032/0021/METRO-Chef-Walnusskerne-500-g-Beutel</t>
  </si>
  <si>
    <r>
      <t>Dried fruit mix (dates, mango, apricots, raisins – no added sugar)</t>
    </r>
    <r>
      <rPr>
        <sz val="11"/>
        <color theme="1"/>
        <rFont val="Aptos Narrow"/>
        <family val="2"/>
        <scheme val="minor"/>
      </rPr>
      <t xml:space="preserve"> – 8 kg</t>
    </r>
  </si>
  <si>
    <t>80 Approx</t>
  </si>
  <si>
    <t>have to buy all separate and then mix</t>
  </si>
  <si>
    <r>
      <t>Lightly salted nuts mix</t>
    </r>
    <r>
      <rPr>
        <sz val="11"/>
        <color theme="1"/>
        <rFont val="Aptos Narrow"/>
        <family val="2"/>
        <scheme val="minor"/>
      </rPr>
      <t xml:space="preserve"> – 6 kg</t>
    </r>
  </si>
  <si>
    <t>https://lieferservice.metro.de/shop/pv/BTY-X347043/0032/0021/METRO-Chef-Nuss-Mix-geröstet-gesalzen-1-kg-Beutel</t>
  </si>
  <si>
    <t>🥣 Muesli &amp; Cereals</t>
  </si>
  <si>
    <r>
      <rPr>
        <b/>
        <sz val="11"/>
        <color rgb="FF000000"/>
        <rFont val="Aptos Narrow"/>
        <scheme val="minor"/>
      </rPr>
      <t>MyMuesli (low sugar variants)</t>
    </r>
    <r>
      <rPr>
        <sz val="11"/>
        <color rgb="FF000000"/>
        <rFont val="Aptos Narrow"/>
        <scheme val="minor"/>
      </rPr>
      <t xml:space="preserve"> – 12 kg</t>
    </r>
  </si>
  <si>
    <t>2.852 €</t>
  </si>
  <si>
    <t>Hamberger</t>
  </si>
  <si>
    <r>
      <t>Plain rolled oats</t>
    </r>
    <r>
      <rPr>
        <sz val="11"/>
        <color theme="1"/>
        <rFont val="Aptos Narrow"/>
        <family val="2"/>
        <scheme val="minor"/>
      </rPr>
      <t xml:space="preserve"> – 15 kg</t>
    </r>
  </si>
  <si>
    <t>https://lieferservice.metro.de/shop/pv/BTY-X442778/0032/0021/aro-Haferflocken-zart-500-g-Packung</t>
  </si>
  <si>
    <r>
      <rPr>
        <b/>
        <sz val="11"/>
        <color rgb="FF000000"/>
        <rFont val="Aptos Narrow"/>
        <scheme val="minor"/>
      </rPr>
      <t>Bircher muesli</t>
    </r>
    <r>
      <rPr>
        <sz val="11"/>
        <color rgb="FF000000"/>
        <rFont val="Aptos Narrow"/>
        <scheme val="minor"/>
      </rPr>
      <t xml:space="preserve"> – 8 kg</t>
    </r>
  </si>
  <si>
    <t xml:space="preserve"> euro</t>
  </si>
  <si>
    <t>https://lieferservice.metro.de/shop/pv/BTY-X60854/0036/0021/Weidegl%C3%BCck-Fruchtjoghurt-mild-Bircher-M%C3%BCsli-1-00-kg-Becher</t>
  </si>
  <si>
    <t>🍞 Bread &amp; Bakery</t>
  </si>
  <si>
    <r>
      <rPr>
        <b/>
        <sz val="11"/>
        <color rgb="FF000000"/>
        <rFont val="Aptos Narrow"/>
        <scheme val="minor"/>
      </rPr>
      <t>Whole-grain / rye / sourdough bread</t>
    </r>
    <r>
      <rPr>
        <sz val="11"/>
        <color rgb="FF000000"/>
        <rFont val="Aptos Narrow"/>
        <scheme val="minor"/>
      </rPr>
      <t xml:space="preserve"> – 40 loaves</t>
    </r>
  </si>
  <si>
    <t>https://lieferservice.metro.de/shop/pv/BTY-X186978/0032/0021/Edna-Roggenvollkornbrot-tiefgefroren-fertig-gebacken-geschnitten-10-St%C3%BCck-%C3%A0-1-kg-10-kg-Karton</t>
  </si>
  <si>
    <r>
      <rPr>
        <b/>
        <sz val="11"/>
        <color rgb="FF000000"/>
        <rFont val="Aptos Narrow"/>
        <scheme val="minor"/>
      </rPr>
      <t>Bread rolls (Brötchen)</t>
    </r>
    <r>
      <rPr>
        <sz val="11"/>
        <color rgb="FF000000"/>
        <rFont val="Aptos Narrow"/>
        <scheme val="minor"/>
      </rPr>
      <t xml:space="preserve"> – 150 pieces</t>
    </r>
  </si>
  <si>
    <t>https://lieferservice.metro.de/shop/pv/BTY-X469913/0032/0022/Brinker-Brinkchen-XXL-tiefgefroren-35-St%C3%BCck-%C3%A0-80-g-halbgebacken-2-x-2-8-kg-Beutel</t>
  </si>
  <si>
    <r>
      <t>Pretzels / lye pastries</t>
    </r>
    <r>
      <rPr>
        <sz val="11"/>
        <color theme="1"/>
        <rFont val="Aptos Narrow"/>
        <family val="2"/>
        <scheme val="minor"/>
      </rPr>
      <t xml:space="preserve"> – 80 pieces</t>
    </r>
  </si>
  <si>
    <t>https://lieferservice.metro.de/shop/pv/BTY-X262261/0032/0021/Edna-FF-Brezel-mit-Salzbestreuung-tiefgefroren-fertig-gebacken-60-Stück-à-100-g-6-kg-Packung</t>
  </si>
  <si>
    <r>
      <t>Croissants (occasional option)</t>
    </r>
    <r>
      <rPr>
        <sz val="11"/>
        <color theme="1"/>
        <rFont val="Aptos Narrow"/>
        <family val="2"/>
        <scheme val="minor"/>
      </rPr>
      <t xml:space="preserve"> – 60 pieces</t>
    </r>
  </si>
  <si>
    <t>https://lieferservice.metro.de/shop/pv/BTY-X8194/0032/0021/METRO-Chef-Butter-Croissant-tiefgefroren-20-Stück-à-60-g-1-2-kg-Packung</t>
  </si>
  <si>
    <t>🧀 Spreads</t>
  </si>
  <si>
    <r>
      <t>Cream cheese</t>
    </r>
    <r>
      <rPr>
        <sz val="11"/>
        <color theme="1"/>
        <rFont val="Aptos Narrow"/>
        <family val="2"/>
        <scheme val="minor"/>
      </rPr>
      <t xml:space="preserve"> – 8 kg</t>
    </r>
  </si>
  <si>
    <t>metro</t>
  </si>
  <si>
    <t>https://lieferservice.metro.de/shop/pv/BTY-X401360/0032/0022/</t>
  </si>
  <si>
    <r>
      <t>Hummus</t>
    </r>
    <r>
      <rPr>
        <sz val="11"/>
        <color theme="1"/>
        <rFont val="Aptos Narrow"/>
        <family val="2"/>
        <scheme val="minor"/>
      </rPr>
      <t xml:space="preserve"> – 6 kg</t>
    </r>
  </si>
  <si>
    <t>https://lieferservice.metro.de/shop/pv/BTY-X380816/0032/0021/Popp-Hummus-traditionell-gekühlt-1-kg-Becher</t>
  </si>
  <si>
    <r>
      <t>Butter</t>
    </r>
    <r>
      <rPr>
        <sz val="11"/>
        <color theme="1"/>
        <rFont val="Aptos Narrow"/>
        <family val="2"/>
        <scheme val="minor"/>
      </rPr>
      <t xml:space="preserve"> – 6 kg</t>
    </r>
  </si>
  <si>
    <t>https://lieferservice.metro.de/shop/pv/BTY-X282429/0032/0021/aro-Markenbutter-82-Fett-250-g-Packung</t>
  </si>
  <si>
    <r>
      <t>Nutella</t>
    </r>
    <r>
      <rPr>
        <sz val="11"/>
        <color theme="1"/>
        <rFont val="Aptos Narrow"/>
        <family val="2"/>
        <scheme val="minor"/>
      </rPr>
      <t xml:space="preserve"> – 5 kg</t>
    </r>
  </si>
  <si>
    <t>https://lieferservice.metro.de/shop/pv/BTY-X205718/0032/0021/nutella-Nutella-Nuss-Nougat-Creme-750-g-Tiegel</t>
  </si>
  <si>
    <r>
      <t>Peanut / nut butter</t>
    </r>
    <r>
      <rPr>
        <sz val="11"/>
        <color theme="1"/>
        <rFont val="Aptos Narrow"/>
        <family val="2"/>
        <scheme val="minor"/>
      </rPr>
      <t xml:space="preserve"> – 5 kg</t>
    </r>
  </si>
  <si>
    <t>https://lieferservice.metro.de/shop/pv/BTY-X376351/0032/0021</t>
  </si>
  <si>
    <t>🍫 Functional Snacks &amp; Sweets</t>
  </si>
  <si>
    <r>
      <rPr>
        <b/>
        <sz val="11"/>
        <color rgb="FF000000"/>
        <rFont val="Aptos Narrow"/>
        <scheme val="minor"/>
      </rPr>
      <t>Protein bars (mixed brands)</t>
    </r>
    <r>
      <rPr>
        <sz val="11"/>
        <color rgb="FF000000"/>
        <rFont val="Aptos Narrow"/>
        <scheme val="minor"/>
      </rPr>
      <t xml:space="preserve"> – 250 pieces</t>
    </r>
  </si>
  <si>
    <t>KMS</t>
  </si>
  <si>
    <t>Be-kind Bars</t>
  </si>
  <si>
    <r>
      <rPr>
        <b/>
        <sz val="11"/>
        <color rgb="FF000000"/>
        <rFont val="Aptos Narrow"/>
        <scheme val="minor"/>
      </rPr>
      <t>ESN protein bars</t>
    </r>
    <r>
      <rPr>
        <sz val="11"/>
        <color rgb="FF000000"/>
        <rFont val="Aptos Narrow"/>
        <scheme val="minor"/>
      </rPr>
      <t xml:space="preserve"> – 120 pieces</t>
    </r>
  </si>
  <si>
    <t>NOT FOUND</t>
  </si>
  <si>
    <r>
      <rPr>
        <b/>
        <sz val="11"/>
        <color rgb="FF000000"/>
        <rFont val="Aptos Narrow"/>
        <scheme val="minor"/>
      </rPr>
      <t>Quantum Leap / Tasty Bars</t>
    </r>
    <r>
      <rPr>
        <sz val="11"/>
        <color rgb="FF000000"/>
        <rFont val="Aptos Narrow"/>
        <scheme val="minor"/>
      </rPr>
      <t xml:space="preserve"> – 120 pieces</t>
    </r>
  </si>
  <si>
    <r>
      <rPr>
        <b/>
        <sz val="11"/>
        <color rgb="FF000000"/>
        <rFont val="Aptos Narrow"/>
        <scheme val="minor"/>
      </rPr>
      <t>Dark chocolate mini bars</t>
    </r>
    <r>
      <rPr>
        <sz val="11"/>
        <color rgb="FF000000"/>
        <rFont val="Aptos Narrow"/>
        <scheme val="minor"/>
      </rPr>
      <t xml:space="preserve"> – 200 pieces</t>
    </r>
  </si>
  <si>
    <t>15,56 €</t>
  </si>
  <si>
    <r>
      <rPr>
        <b/>
        <sz val="11"/>
        <color rgb="FF000000"/>
        <rFont val="Aptos Narrow"/>
        <scheme val="minor"/>
      </rPr>
      <t>Granola / cereal bars (low sugar)</t>
    </r>
    <r>
      <rPr>
        <sz val="11"/>
        <color rgb="FF000000"/>
        <rFont val="Aptos Narrow"/>
        <scheme val="minor"/>
      </rPr>
      <t xml:space="preserve"> – 150 pieces</t>
    </r>
  </si>
  <si>
    <t>18 euro</t>
  </si>
  <si>
    <t>only big size 1,5kg</t>
  </si>
  <si>
    <r>
      <rPr>
        <b/>
        <sz val="11"/>
        <color rgb="FF000000"/>
        <rFont val="Aptos Narrow"/>
        <scheme val="minor"/>
      </rPr>
      <t>Vegan gummies</t>
    </r>
    <r>
      <rPr>
        <sz val="11"/>
        <color rgb="FF000000"/>
        <rFont val="Aptos Narrow"/>
        <scheme val="minor"/>
      </rPr>
      <t xml:space="preserve"> – 100 packs</t>
    </r>
  </si>
  <si>
    <t>1 euro</t>
  </si>
  <si>
    <t xml:space="preserve">154379 /154382 </t>
  </si>
  <si>
    <t>🥛 Yogurt &amp; Fresh Options</t>
  </si>
  <si>
    <r>
      <t>Natural yogurt</t>
    </r>
    <r>
      <rPr>
        <sz val="11"/>
        <color theme="1"/>
        <rFont val="Aptos Narrow"/>
        <family val="2"/>
        <scheme val="minor"/>
      </rPr>
      <t xml:space="preserve"> – 120 cups</t>
    </r>
  </si>
  <si>
    <t>Metro/150g</t>
  </si>
  <si>
    <t>https://lieferservice.metro.de/shop/pv/BTY-X620452/0032/0023/Andechser-Natur-Bio-Joghurt-mild-3-8-Fett-10-x-150-g-Becher</t>
  </si>
  <si>
    <r>
      <t>Lactose-free yogurt</t>
    </r>
    <r>
      <rPr>
        <sz val="11"/>
        <color theme="1"/>
        <rFont val="Aptos Narrow"/>
        <family val="2"/>
        <scheme val="minor"/>
      </rPr>
      <t xml:space="preserve"> – 60 cups</t>
    </r>
  </si>
  <si>
    <t>Metro/ 400g</t>
  </si>
  <si>
    <t>https://lieferservice.metro.de/shop/pv/BTY-X85456/0032/0021/Schwarzwaldmilch-LAC-lactosefrei-Joghurt-mild-3-5-Fett-400-g-Becher</t>
  </si>
  <si>
    <r>
      <t>Plant-based yogurt</t>
    </r>
    <r>
      <rPr>
        <sz val="11"/>
        <color theme="1"/>
        <rFont val="Aptos Narrow"/>
        <family val="2"/>
        <scheme val="minor"/>
      </rPr>
      <t xml:space="preserve"> – 60 cups</t>
    </r>
  </si>
  <si>
    <t>https://lieferservice.metro.de/shop/pv/BTY-X6385/0032/0021/alpro-Natur-Joghurt-Alternative-vegan-gekühlt-400-g-Becher</t>
  </si>
  <si>
    <t>☕ Milk &amp; Beverages</t>
  </si>
  <si>
    <r>
      <t>Cow’s milk</t>
    </r>
    <r>
      <rPr>
        <sz val="11"/>
        <color theme="1"/>
        <rFont val="Aptos Narrow"/>
        <family val="2"/>
        <scheme val="minor"/>
      </rPr>
      <t xml:space="preserve"> – 60 L</t>
    </r>
  </si>
  <si>
    <t>https://lieferservice.metro.de/shop/pv/BTY-X25588/0032/0021/Andechser-Natur-Bio-Vollmilch-länger-frisch-3-8-Fett-1-l-Packung</t>
  </si>
  <si>
    <r>
      <t>Oat Barista milk</t>
    </r>
    <r>
      <rPr>
        <sz val="11"/>
        <color theme="1"/>
        <rFont val="Aptos Narrow"/>
        <family val="2"/>
        <scheme val="minor"/>
      </rPr>
      <t xml:space="preserve"> – 80 L</t>
    </r>
  </si>
  <si>
    <t>https://lieferservice.metro.de/shop/pv/BTY-X390655/0032/0021/Berief-Bio-Hafer-Drink-Barista-1-l</t>
  </si>
  <si>
    <r>
      <t>Coconut Barista milk</t>
    </r>
    <r>
      <rPr>
        <sz val="11"/>
        <color theme="1"/>
        <rFont val="Aptos Narrow"/>
        <family val="2"/>
        <scheme val="minor"/>
      </rPr>
      <t xml:space="preserve"> – 40 L</t>
    </r>
  </si>
  <si>
    <t>https://lieferservice.metro.de/shop/pv/BTY-X131267/0032/0021/Aroy-D-Kokosnussmilch-1-00-kg-Faltschachtel</t>
  </si>
  <si>
    <r>
      <rPr>
        <b/>
        <sz val="11"/>
        <color rgb="FF000000"/>
        <rFont val="Aptos Narrow"/>
        <scheme val="minor"/>
      </rPr>
      <t>Premium tea selection</t>
    </r>
    <r>
      <rPr>
        <sz val="11"/>
        <color rgb="FF000000"/>
        <rFont val="Aptos Narrow"/>
        <scheme val="minor"/>
      </rPr>
      <t xml:space="preserve"> – 10 assorted boxes</t>
    </r>
  </si>
  <si>
    <t>Art. Number</t>
  </si>
  <si>
    <t>Items</t>
  </si>
  <si>
    <t>Quantity</t>
  </si>
  <si>
    <t>Unity</t>
  </si>
  <si>
    <t>Comments</t>
  </si>
  <si>
    <t>Quantity sent</t>
  </si>
  <si>
    <t>Unit</t>
  </si>
  <si>
    <t>Price</t>
  </si>
  <si>
    <t>Total</t>
  </si>
  <si>
    <t>Count the pieces and write down</t>
  </si>
  <si>
    <t>pcs</t>
  </si>
  <si>
    <r>
      <rPr>
        <b/>
        <sz val="11"/>
        <color rgb="FF000000"/>
        <rFont val="Aptos Narrow"/>
        <scheme val="minor"/>
      </rPr>
      <t>Grapes</t>
    </r>
    <r>
      <rPr>
        <sz val="11"/>
        <color rgb="FF000000"/>
        <rFont val="Aptos Narrow"/>
        <scheme val="minor"/>
      </rPr>
      <t xml:space="preserve"> Red– 8 kg</t>
    </r>
  </si>
  <si>
    <t>500g</t>
  </si>
  <si>
    <r>
      <rPr>
        <b/>
        <sz val="11"/>
        <color rgb="FF000000"/>
        <rFont val="Aptos Narrow"/>
        <scheme val="minor"/>
      </rPr>
      <t>Grapes</t>
    </r>
    <r>
      <rPr>
        <sz val="11"/>
        <color rgb="FF000000"/>
        <rFont val="Aptos Narrow"/>
        <scheme val="minor"/>
      </rPr>
      <t xml:space="preserve"> Green– 8 kg</t>
    </r>
  </si>
  <si>
    <t>Blaubeere</t>
  </si>
  <si>
    <t>Strawberry</t>
  </si>
  <si>
    <t>Blackberrie</t>
  </si>
  <si>
    <t>125g</t>
  </si>
  <si>
    <t>1kg</t>
  </si>
  <si>
    <t xml:space="preserve">Pistacchio </t>
  </si>
  <si>
    <t>To put in the small glas jar</t>
  </si>
  <si>
    <t>Nut mix</t>
  </si>
  <si>
    <t>Apricot dried</t>
  </si>
  <si>
    <t>Prunes Dried</t>
  </si>
  <si>
    <t>banana chips</t>
  </si>
  <si>
    <t>Mixed nuts - 50g</t>
  </si>
  <si>
    <t>50g</t>
  </si>
  <si>
    <r>
      <t>Pretzels / lye pastries</t>
    </r>
    <r>
      <rPr>
        <sz val="11"/>
        <color theme="0"/>
        <rFont val="Aptos Narrow"/>
        <family val="2"/>
        <scheme val="minor"/>
      </rPr>
      <t xml:space="preserve"> – 80 pieces</t>
    </r>
  </si>
  <si>
    <t>100g/1piece</t>
  </si>
  <si>
    <t>Croissants- butter</t>
  </si>
  <si>
    <t>60g/1piece</t>
  </si>
  <si>
    <t>Croissants- chocolate</t>
  </si>
  <si>
    <r>
      <rPr>
        <b/>
        <sz val="11"/>
        <color rgb="FF000000"/>
        <rFont val="Aptos Narrow"/>
        <scheme val="minor"/>
      </rPr>
      <t>Cream cheese</t>
    </r>
    <r>
      <rPr>
        <sz val="11"/>
        <color rgb="FF000000"/>
        <rFont val="Aptos Narrow"/>
        <scheme val="minor"/>
      </rPr>
      <t xml:space="preserve"> – 8 kg - 16.67g</t>
    </r>
  </si>
  <si>
    <t>16.67g</t>
  </si>
  <si>
    <r>
      <rPr>
        <b/>
        <sz val="11"/>
        <color rgb="FF000000"/>
        <rFont val="Aptos Narrow"/>
        <scheme val="minor"/>
      </rPr>
      <t>Hummus</t>
    </r>
    <r>
      <rPr>
        <sz val="11"/>
        <color rgb="FF000000"/>
        <rFont val="Aptos Narrow"/>
        <scheme val="minor"/>
      </rPr>
      <t xml:space="preserve"> – 6 kg - 175g</t>
    </r>
  </si>
  <si>
    <r>
      <rPr>
        <b/>
        <sz val="11"/>
        <color rgb="FF000000"/>
        <rFont val="Aptos Narrow"/>
        <scheme val="minor"/>
      </rPr>
      <t>Butter</t>
    </r>
    <r>
      <rPr>
        <sz val="11"/>
        <color rgb="FF000000"/>
        <rFont val="Aptos Narrow"/>
        <scheme val="minor"/>
      </rPr>
      <t xml:space="preserve"> – 6 kg - 10g</t>
    </r>
  </si>
  <si>
    <t>10g</t>
  </si>
  <si>
    <t>450g</t>
  </si>
  <si>
    <t>350g</t>
  </si>
  <si>
    <r>
      <rPr>
        <b/>
        <sz val="11"/>
        <color rgb="FF000000"/>
        <rFont val="Aptos Narrow"/>
        <scheme val="minor"/>
      </rPr>
      <t>Natural yogurt</t>
    </r>
    <r>
      <rPr>
        <sz val="11"/>
        <color rgb="FF000000"/>
        <rFont val="Aptos Narrow"/>
        <scheme val="minor"/>
      </rPr>
      <t xml:space="preserve"> – 120 cups - 100ml</t>
    </r>
  </si>
  <si>
    <t>150g</t>
  </si>
  <si>
    <r>
      <rPr>
        <b/>
        <sz val="11"/>
        <color rgb="FF000000"/>
        <rFont val="Aptos Narrow"/>
        <scheme val="minor"/>
      </rPr>
      <t>Lactose-free yogurt</t>
    </r>
    <r>
      <rPr>
        <sz val="11"/>
        <color rgb="FF000000"/>
        <rFont val="Aptos Narrow"/>
        <scheme val="minor"/>
      </rPr>
      <t xml:space="preserve"> – 60 cups -400ml</t>
    </r>
  </si>
  <si>
    <r>
      <rPr>
        <b/>
        <sz val="11"/>
        <color rgb="FF000000"/>
        <rFont val="Aptos Narrow"/>
        <scheme val="minor"/>
      </rPr>
      <t>Plant-based yogurt</t>
    </r>
    <r>
      <rPr>
        <sz val="11"/>
        <color rgb="FF000000"/>
        <rFont val="Aptos Narrow"/>
        <scheme val="minor"/>
      </rPr>
      <t xml:space="preserve"> – 60 cups - 400ml</t>
    </r>
  </si>
  <si>
    <t>l</t>
  </si>
  <si>
    <t>1l</t>
  </si>
  <si>
    <t>Tee - early grey 20pcs</t>
  </si>
  <si>
    <t>box</t>
  </si>
  <si>
    <t>Tee - english breakfast</t>
  </si>
  <si>
    <t>Tee - Assam</t>
  </si>
  <si>
    <t>Tee - green tee</t>
  </si>
  <si>
    <t>Mueasli</t>
  </si>
  <si>
    <t>To put in the big glas jar</t>
  </si>
  <si>
    <t>2kg</t>
  </si>
  <si>
    <t>OAT</t>
  </si>
  <si>
    <t>Kg</t>
  </si>
  <si>
    <t>L</t>
  </si>
  <si>
    <t>Bio Agaven Syrup</t>
  </si>
  <si>
    <t>1.07L</t>
  </si>
  <si>
    <t>Green tee 25 pcs</t>
  </si>
  <si>
    <t>pkt</t>
  </si>
  <si>
    <t>Green Tee China 25pcs</t>
  </si>
  <si>
    <t>English Breakfast Tee 25 pcs</t>
  </si>
  <si>
    <t>Kamilleni Tee 25</t>
  </si>
  <si>
    <t>Kölln Früchtemüsli ohne Zuckerzusatz</t>
  </si>
  <si>
    <t>1.7kg</t>
  </si>
  <si>
    <t>Kellogg's Crunchy Müsli Classic Schoko</t>
  </si>
  <si>
    <t>1.5kg</t>
  </si>
  <si>
    <t>265730</t>
  </si>
  <si>
    <r>
      <rPr>
        <b/>
        <sz val="11"/>
        <color rgb="FF000000"/>
        <rFont val="Aptos Narrow"/>
        <scheme val="minor"/>
      </rPr>
      <t>Hummus</t>
    </r>
    <r>
      <rPr>
        <sz val="11"/>
        <color rgb="FF000000"/>
        <rFont val="Aptos Narrow"/>
        <scheme val="minor"/>
      </rPr>
      <t xml:space="preserve"> –  175g</t>
    </r>
  </si>
  <si>
    <t>g</t>
  </si>
  <si>
    <r>
      <rPr>
        <b/>
        <sz val="11"/>
        <color rgb="FF000000"/>
        <rFont val="Aptos Narrow"/>
        <scheme val="minor"/>
      </rPr>
      <t>Nutella</t>
    </r>
    <r>
      <rPr>
        <sz val="11"/>
        <color rgb="FF000000"/>
        <rFont val="Aptos Narrow"/>
        <scheme val="minor"/>
      </rPr>
      <t xml:space="preserve"> </t>
    </r>
  </si>
  <si>
    <t>Buckets of 3kg</t>
  </si>
  <si>
    <t>3kg</t>
  </si>
  <si>
    <t>10x150</t>
  </si>
  <si>
    <t>Plant-based yogurt – 60 cups - 400ml</t>
  </si>
  <si>
    <t>400g</t>
  </si>
  <si>
    <t xml:space="preserve">Cow’s milk </t>
  </si>
  <si>
    <t>Oat Barista milk – 80 L</t>
  </si>
  <si>
    <t>Figs Jam/ Feige</t>
  </si>
  <si>
    <t>jar</t>
  </si>
  <si>
    <t>370g</t>
  </si>
  <si>
    <t>Raspberry / Himber Jam</t>
  </si>
  <si>
    <t>Mirabelle Plum Jam / Mirabelle</t>
  </si>
  <si>
    <t>Quence Jelly / Gelee Qui</t>
  </si>
  <si>
    <t>Cherry Jam / Kirsch</t>
  </si>
  <si>
    <t>768144</t>
  </si>
  <si>
    <t>Granola Choco &amp; NU</t>
  </si>
  <si>
    <t>022271</t>
  </si>
  <si>
    <t xml:space="preserve">Lotus Biscuits </t>
  </si>
  <si>
    <t>pkts</t>
  </si>
  <si>
    <t>027635</t>
  </si>
  <si>
    <t>Houber Bio Brezel</t>
  </si>
  <si>
    <t>KT</t>
  </si>
  <si>
    <t>10x40g</t>
  </si>
  <si>
    <t>343528</t>
  </si>
  <si>
    <t>Fruit Quark  Bio Peach</t>
  </si>
  <si>
    <t>piece</t>
  </si>
  <si>
    <t>6x150g</t>
  </si>
  <si>
    <t>678398</t>
  </si>
  <si>
    <t>Bio Rahm jogurt vanille</t>
  </si>
  <si>
    <t>280298</t>
  </si>
  <si>
    <t>Mini babybel Buffet Cheese</t>
  </si>
  <si>
    <t>bag</t>
  </si>
  <si>
    <t>22x20g</t>
  </si>
  <si>
    <t>160168</t>
  </si>
  <si>
    <t>Nektarinen</t>
  </si>
  <si>
    <t>SC</t>
  </si>
  <si>
    <t>1x500g</t>
  </si>
  <si>
    <t>sc</t>
  </si>
  <si>
    <t>264514</t>
  </si>
  <si>
    <t>Kiwi Ready to eat</t>
  </si>
  <si>
    <t>1x4er</t>
  </si>
  <si>
    <t>268603</t>
  </si>
  <si>
    <t>Orange Fruits</t>
  </si>
  <si>
    <t>5kg</t>
  </si>
  <si>
    <t>416422</t>
  </si>
  <si>
    <t>Plum Red</t>
  </si>
  <si>
    <t>458492</t>
  </si>
  <si>
    <t>Blood Orange</t>
  </si>
  <si>
    <t>023030</t>
  </si>
  <si>
    <t>Honey</t>
  </si>
  <si>
    <t xml:space="preserve">Bread </t>
  </si>
  <si>
    <t>per pcs</t>
  </si>
  <si>
    <t xml:space="preserve">Croissant </t>
  </si>
  <si>
    <t>Heinz Ketchup 875 ml</t>
  </si>
  <si>
    <t>stk</t>
  </si>
  <si>
    <t>grapes</t>
  </si>
  <si>
    <t>Bretzel</t>
  </si>
  <si>
    <t>073932</t>
  </si>
  <si>
    <t>BIERSTENGEL</t>
  </si>
  <si>
    <t>381594</t>
  </si>
  <si>
    <t>HARIBO STUECKARTIKEL RAINBOW</t>
  </si>
  <si>
    <t>649614</t>
  </si>
  <si>
    <t>HARIBO STÜCKARTIKEL PASTA COL</t>
  </si>
  <si>
    <t>489310</t>
  </si>
  <si>
    <t>Milk 10L</t>
  </si>
  <si>
    <t>502782</t>
  </si>
  <si>
    <t>Milk 1L</t>
  </si>
  <si>
    <t>484689</t>
  </si>
  <si>
    <t>ZITRONEN      1.5kg</t>
  </si>
  <si>
    <t>1.5kg of 1 stk</t>
  </si>
  <si>
    <t>5194477</t>
  </si>
  <si>
    <t>KNOBLAUCH        250gm</t>
  </si>
  <si>
    <t>250g of 1 stk</t>
  </si>
  <si>
    <t>524410</t>
  </si>
  <si>
    <t>INGWER        200gm</t>
  </si>
  <si>
    <t>200 g of 1 stk</t>
  </si>
  <si>
    <t>A001058</t>
  </si>
  <si>
    <t>Erdbeeren 500g</t>
  </si>
  <si>
    <t>A002136</t>
  </si>
  <si>
    <t>Feigen frisch 4er</t>
  </si>
  <si>
    <t>A002257</t>
  </si>
  <si>
    <t>Bananen</t>
  </si>
  <si>
    <t>A001143</t>
  </si>
  <si>
    <t>Heidelbeeren 300g</t>
  </si>
  <si>
    <t>Weihenstephan Barista H-Milch</t>
  </si>
  <si>
    <t>1stk=1L</t>
  </si>
  <si>
    <t>Andechser Natur Bio Vollmilch</t>
  </si>
  <si>
    <t>Oatly Germany Haferdrink Ba</t>
  </si>
  <si>
    <t>RED BAND STUECKARTIK WILDE ERD</t>
  </si>
  <si>
    <t>Milch Barista</t>
  </si>
  <si>
    <t>We Have Remaining</t>
  </si>
  <si>
    <t>Johannesbeere</t>
  </si>
  <si>
    <r>
      <rPr>
        <b/>
        <sz val="11"/>
        <color rgb="FF000000"/>
        <rFont val="Aptos Narrow"/>
        <scheme val="minor"/>
      </rPr>
      <t>Lightly salted nuts mix</t>
    </r>
    <r>
      <rPr>
        <sz val="11"/>
        <color rgb="FF000000"/>
        <rFont val="Aptos Narrow"/>
        <scheme val="minor"/>
      </rPr>
      <t xml:space="preserve"> – 6 kg - 50g</t>
    </r>
  </si>
  <si>
    <t>Kind Bar Blu protein</t>
  </si>
  <si>
    <t xml:space="preserve">Kind Bar orange protein </t>
  </si>
  <si>
    <t>MISSING</t>
  </si>
  <si>
    <t>3KG</t>
  </si>
  <si>
    <t>10x150g</t>
  </si>
  <si>
    <t>3L</t>
  </si>
  <si>
    <t>6L</t>
  </si>
  <si>
    <t>6 pkt</t>
  </si>
  <si>
    <t>533727</t>
  </si>
  <si>
    <t>Lactose Free Yogurt</t>
  </si>
  <si>
    <t>8x400ml</t>
  </si>
  <si>
    <t>8 pcs</t>
  </si>
  <si>
    <t>436486</t>
  </si>
  <si>
    <t>Muesly Kolln</t>
  </si>
  <si>
    <t xml:space="preserve">Milk 10 L </t>
  </si>
  <si>
    <t>Orange</t>
  </si>
  <si>
    <t>Banana</t>
  </si>
  <si>
    <t>Bread</t>
  </si>
  <si>
    <t xml:space="preserve">Oat milk </t>
  </si>
  <si>
    <t>btl</t>
  </si>
  <si>
    <t>Date</t>
  </si>
  <si>
    <t>Amount</t>
  </si>
  <si>
    <t>Delivery</t>
  </si>
  <si>
    <t>Grapes</t>
  </si>
  <si>
    <t>pear</t>
  </si>
  <si>
    <t>apple</t>
  </si>
  <si>
    <t>total</t>
  </si>
  <si>
    <t xml:space="preserve">lemon </t>
  </si>
  <si>
    <t>1.5 each</t>
  </si>
  <si>
    <t>Mix nuts</t>
  </si>
  <si>
    <t>ginger</t>
  </si>
  <si>
    <t>200 gr</t>
  </si>
  <si>
    <t>stuck</t>
  </si>
  <si>
    <t xml:space="preserve">Natural yogurt </t>
  </si>
  <si>
    <r>
      <rPr>
        <b/>
        <sz val="11"/>
        <color rgb="FF000000"/>
        <rFont val="Aptos Narrow"/>
        <scheme val="minor"/>
      </rPr>
      <t xml:space="preserve">Lactose-free yogurt </t>
    </r>
  </si>
  <si>
    <t>truefruit</t>
  </si>
  <si>
    <t>hanuta</t>
  </si>
  <si>
    <t>package</t>
  </si>
  <si>
    <t>pck</t>
  </si>
  <si>
    <t>trail mix</t>
  </si>
  <si>
    <t>pack</t>
  </si>
  <si>
    <t>almond</t>
  </si>
  <si>
    <t>200g</t>
  </si>
  <si>
    <t>funny frish</t>
  </si>
  <si>
    <t>40g</t>
  </si>
  <si>
    <t>lemonade</t>
  </si>
  <si>
    <t>330ml</t>
  </si>
  <si>
    <t>abc balksen</t>
  </si>
  <si>
    <t>100g</t>
  </si>
  <si>
    <t xml:space="preserve">granola </t>
  </si>
  <si>
    <t>muesli bricher</t>
  </si>
  <si>
    <t>orange</t>
  </si>
  <si>
    <t>Mandarine</t>
  </si>
  <si>
    <t>tea</t>
  </si>
  <si>
    <t>Croissant</t>
  </si>
  <si>
    <t>Sum</t>
  </si>
  <si>
    <t>Cool Pep Tea</t>
  </si>
  <si>
    <t>Tea Bag</t>
  </si>
  <si>
    <t>25 pcs</t>
  </si>
  <si>
    <t>English Tea</t>
  </si>
  <si>
    <t>Green tea</t>
  </si>
  <si>
    <t>Hey Earl Tea</t>
  </si>
  <si>
    <t>Vitalizin Tea</t>
  </si>
  <si>
    <t>Alpen Milk</t>
  </si>
  <si>
    <t>Pkt</t>
  </si>
  <si>
    <t>12L</t>
  </si>
  <si>
    <t>Gastro herbs</t>
  </si>
  <si>
    <t>st</t>
  </si>
  <si>
    <t>kt</t>
  </si>
  <si>
    <t>1kt</t>
  </si>
  <si>
    <t>Milk Minus</t>
  </si>
  <si>
    <t>10L</t>
  </si>
  <si>
    <t>Greek yogurt Honig</t>
  </si>
  <si>
    <t>150gmx4</t>
  </si>
  <si>
    <t>4pkt</t>
  </si>
  <si>
    <t>Greek yogurt 9.4%</t>
  </si>
  <si>
    <t>Greek yogurt Himber</t>
  </si>
  <si>
    <t>Greek yogurt Blutorang</t>
  </si>
  <si>
    <t>pieces</t>
  </si>
  <si>
    <t>Fruits mix</t>
  </si>
  <si>
    <t xml:space="preserve">kinder card </t>
  </si>
  <si>
    <t>protein bar</t>
  </si>
  <si>
    <t xml:space="preserve">bretzle </t>
  </si>
  <si>
    <t xml:space="preserve">snikers </t>
  </si>
  <si>
    <t>mars</t>
  </si>
  <si>
    <t>lotus</t>
  </si>
  <si>
    <t xml:space="preserve">pick up </t>
  </si>
  <si>
    <t>duplo choco</t>
  </si>
  <si>
    <t>corny</t>
  </si>
  <si>
    <t>abc</t>
  </si>
  <si>
    <t>kinder regel</t>
  </si>
  <si>
    <t>nuts mix</t>
  </si>
  <si>
    <t xml:space="preserve">Quantity Sent </t>
  </si>
  <si>
    <t>Milk 1%</t>
  </si>
  <si>
    <t>Butter milk</t>
  </si>
  <si>
    <t>Rednss</t>
  </si>
  <si>
    <t>Mix Nuts</t>
  </si>
  <si>
    <t>Wallnuts</t>
  </si>
  <si>
    <t>pkt of 500gm</t>
  </si>
  <si>
    <t>Hafer Muesli</t>
  </si>
  <si>
    <t>Lotus</t>
  </si>
  <si>
    <t>Barista Milk Mandel</t>
  </si>
  <si>
    <t>Mix Fruits</t>
  </si>
  <si>
    <t>M&amp;M 800gm</t>
  </si>
  <si>
    <t>Giotto</t>
  </si>
  <si>
    <t>Pkts</t>
  </si>
  <si>
    <t>Rioba Biscuits</t>
  </si>
  <si>
    <t>10l pkt price</t>
  </si>
  <si>
    <t>Milk lactose free</t>
  </si>
  <si>
    <t xml:space="preserve">Barista Milk </t>
  </si>
  <si>
    <t>Green  Tea</t>
  </si>
  <si>
    <t>Yogurt</t>
  </si>
  <si>
    <t xml:space="preserve">Johannesbery </t>
  </si>
  <si>
    <t>125gm pkt</t>
  </si>
  <si>
    <t>gm</t>
  </si>
  <si>
    <t>Apple</t>
  </si>
  <si>
    <t>croissant</t>
  </si>
  <si>
    <t>Twix</t>
  </si>
  <si>
    <t>Box</t>
  </si>
  <si>
    <t>Bueno</t>
  </si>
  <si>
    <t>Mix fruits</t>
  </si>
  <si>
    <t>500gm</t>
  </si>
  <si>
    <t>Muesli kusper</t>
  </si>
  <si>
    <t>Mars</t>
  </si>
  <si>
    <t>Snickers</t>
  </si>
  <si>
    <t>Be-Kind Honey Roasted</t>
  </si>
  <si>
    <t>12pcs</t>
  </si>
  <si>
    <t>Fulfil</t>
  </si>
  <si>
    <t>Corn Flackes</t>
  </si>
  <si>
    <t>3x8 Pkt, 205gm each</t>
  </si>
  <si>
    <t>Bag</t>
  </si>
  <si>
    <t>M&amp;M</t>
  </si>
  <si>
    <t>Blue</t>
  </si>
  <si>
    <t>Collection of tea</t>
  </si>
  <si>
    <t>180gm</t>
  </si>
  <si>
    <t>Pears</t>
  </si>
  <si>
    <t>Lemon</t>
  </si>
  <si>
    <t>Physalis</t>
  </si>
  <si>
    <t>Mini Pastry</t>
  </si>
  <si>
    <t>Snicker Creamy</t>
  </si>
  <si>
    <t>24x36gm</t>
  </si>
  <si>
    <t>Hanuta</t>
  </si>
  <si>
    <t>Nut Mix Topping</t>
  </si>
  <si>
    <t>Oreo</t>
  </si>
  <si>
    <t>Mars Protein</t>
  </si>
  <si>
    <t>Bounty Coconut</t>
  </si>
  <si>
    <t>Barista milk</t>
  </si>
  <si>
    <t>Minus Milk Lactose Free</t>
  </si>
  <si>
    <t>Oat Milk</t>
  </si>
  <si>
    <t>Kiwi</t>
  </si>
  <si>
    <t>4piece each</t>
  </si>
  <si>
    <t>Figs</t>
  </si>
  <si>
    <t>500gm each</t>
  </si>
  <si>
    <t>Plum</t>
  </si>
  <si>
    <t xml:space="preserve">500gm </t>
  </si>
  <si>
    <t>Blueberry</t>
  </si>
  <si>
    <t>125gm</t>
  </si>
  <si>
    <t>Butter Milk</t>
  </si>
  <si>
    <t>Granola</t>
  </si>
  <si>
    <t>Alpro  Yogurt</t>
  </si>
  <si>
    <t>Stk</t>
  </si>
  <si>
    <t>480gm</t>
  </si>
  <si>
    <t>Knoppers</t>
  </si>
  <si>
    <t>24 stk</t>
  </si>
  <si>
    <t>Oats</t>
  </si>
  <si>
    <t>Frujog small</t>
  </si>
  <si>
    <t>20 stk</t>
  </si>
  <si>
    <t>Unit Price</t>
  </si>
  <si>
    <t xml:space="preserve">Fruit Yogurt </t>
  </si>
  <si>
    <t>Lactose free yogurt mild yogurt</t>
  </si>
  <si>
    <t>Mix Nut topping</t>
  </si>
  <si>
    <t xml:space="preserve">Nutella </t>
  </si>
  <si>
    <t>Actimel</t>
  </si>
  <si>
    <t>8x100ml</t>
  </si>
  <si>
    <t>Alpro yogurt strawberry</t>
  </si>
  <si>
    <t>Alpro yogurt peach</t>
  </si>
  <si>
    <t>Frut Mix</t>
  </si>
  <si>
    <t>WS NATURAL yogurt 3.5</t>
  </si>
  <si>
    <t>10l/bag</t>
  </si>
  <si>
    <t>ToN Apple, Protein Vegan coconut</t>
  </si>
  <si>
    <t>Barista Milk</t>
  </si>
  <si>
    <t>WS Alpenmmilk</t>
  </si>
  <si>
    <t>4 stk/pkt</t>
  </si>
  <si>
    <t>Black Berry</t>
  </si>
  <si>
    <t>150gm/pkt</t>
  </si>
  <si>
    <t>Minus milk</t>
  </si>
  <si>
    <t>Milk Baren</t>
  </si>
  <si>
    <t>Green Apple</t>
  </si>
  <si>
    <t>Item</t>
  </si>
  <si>
    <t>Quantity Sent</t>
  </si>
  <si>
    <t>Invoice Total</t>
  </si>
  <si>
    <t>Milk 10 L</t>
  </si>
  <si>
    <t>Oat milk</t>
  </si>
  <si>
    <t>Pear</t>
  </si>
  <si>
    <t>Ginger</t>
  </si>
  <si>
    <t>Mirabelle Plum Jam</t>
  </si>
  <si>
    <t>Lotus Biscuits</t>
  </si>
  <si>
    <t>Bio Rahm Jogurt Vanille</t>
  </si>
  <si>
    <t>Natural Yogurt</t>
  </si>
  <si>
    <t>Lactose-free Yogurt</t>
  </si>
  <si>
    <t>Truefruit</t>
  </si>
  <si>
    <t>Trail Mix</t>
  </si>
  <si>
    <t>Almond</t>
  </si>
  <si>
    <t>Funny Frisch</t>
  </si>
  <si>
    <t>Lemonade</t>
  </si>
  <si>
    <t>ABC Balksen</t>
  </si>
  <si>
    <t>Muesli Bircher</t>
  </si>
  <si>
    <t>Tea</t>
  </si>
  <si>
    <t>Green Tea</t>
  </si>
  <si>
    <t>Gastro Herbs</t>
  </si>
  <si>
    <t>Greek Yogurt Honig</t>
  </si>
  <si>
    <t>Greek Yogurt 9.4%</t>
  </si>
  <si>
    <t>Greek Yogurt Himber</t>
  </si>
  <si>
    <t>Greek Yogurt Blutorang</t>
  </si>
  <si>
    <t>Fruits Mix</t>
  </si>
  <si>
    <t>Kinder Card</t>
  </si>
  <si>
    <t>Protein Bar</t>
  </si>
  <si>
    <t>Pick Up</t>
  </si>
  <si>
    <t>Duplo Choco</t>
  </si>
  <si>
    <t>Corny</t>
  </si>
  <si>
    <t>ABC</t>
  </si>
  <si>
    <t>Kinder Riegel</t>
  </si>
  <si>
    <t>Nuts Mix</t>
  </si>
  <si>
    <t>Milk Lactose Free</t>
  </si>
  <si>
    <t>Johannesbery</t>
  </si>
  <si>
    <t>Muesli Kusper</t>
  </si>
  <si>
    <t>Corn Flakes</t>
  </si>
  <si>
    <t>Collection of Tea</t>
  </si>
  <si>
    <t>Alpro Yogurt</t>
  </si>
  <si>
    <t>Frujog Small</t>
  </si>
  <si>
    <t>Fruit Yogurt</t>
  </si>
  <si>
    <t>Lactose Free Yogurt Mild</t>
  </si>
  <si>
    <t>Mix Nut Topping</t>
  </si>
  <si>
    <t>Nutella</t>
  </si>
  <si>
    <t>Alpro Yogurt Strawberry</t>
  </si>
  <si>
    <t>Alpro Yogurt Peach</t>
  </si>
  <si>
    <t>Fruit Mix</t>
  </si>
  <si>
    <t>WS Natural Yogurt 3.5</t>
  </si>
  <si>
    <t>ToN Apple Protein Vegan Coconut</t>
  </si>
  <si>
    <t>WS Alpenmilch</t>
  </si>
  <si>
    <t>Minus Milk</t>
  </si>
  <si>
    <t>TOTAL</t>
  </si>
  <si>
    <t>delivery</t>
  </si>
  <si>
    <t>TOTALE</t>
  </si>
  <si>
    <t>Haribo</t>
  </si>
  <si>
    <t>Haltbar Milk</t>
  </si>
  <si>
    <t>Hafer Milk Shake</t>
  </si>
  <si>
    <t>Barben Milk</t>
  </si>
  <si>
    <t>Alpro Milk</t>
  </si>
  <si>
    <t>Fulfil Chocolate</t>
  </si>
  <si>
    <t>Snickers Creamy</t>
  </si>
  <si>
    <t>Green Matcha Latte</t>
  </si>
  <si>
    <t>Banana Chips</t>
  </si>
  <si>
    <t>500gm/pkt</t>
  </si>
  <si>
    <t>Hafer Musli Fruits</t>
  </si>
  <si>
    <t>Hafer musli Choco</t>
  </si>
  <si>
    <t>bretzle box</t>
  </si>
  <si>
    <t>20stk</t>
  </si>
  <si>
    <t>Gioto</t>
  </si>
  <si>
    <t>mikado</t>
  </si>
  <si>
    <t>Muesli klassich Knusper</t>
  </si>
  <si>
    <t>Be-kind fruits</t>
  </si>
  <si>
    <t>Behind honey nuts and seas salt</t>
  </si>
  <si>
    <t>Bekind dark chocolate</t>
  </si>
  <si>
    <t>Behind crunchy peanut butter</t>
  </si>
  <si>
    <t>Fruit mix</t>
  </si>
  <si>
    <t>flocken</t>
  </si>
  <si>
    <t>biscuits lotus</t>
  </si>
  <si>
    <t>barista barista</t>
  </si>
  <si>
    <t xml:space="preserve">Hafer milch </t>
  </si>
  <si>
    <t xml:space="preserve">Oat milch </t>
  </si>
  <si>
    <t xml:space="preserve">Almond milch </t>
  </si>
  <si>
    <t>Matcha  latte</t>
  </si>
  <si>
    <t>250gm/pkt</t>
  </si>
  <si>
    <t xml:space="preserve">Grapes </t>
  </si>
  <si>
    <t>banan</t>
  </si>
  <si>
    <t>Lime</t>
  </si>
  <si>
    <t>100gm</t>
  </si>
  <si>
    <t xml:space="preserve">Oreo </t>
  </si>
  <si>
    <t>44gm/pkt</t>
  </si>
  <si>
    <t xml:space="preserve">Flocken Oat </t>
  </si>
  <si>
    <t xml:space="preserve">Fruit mix </t>
  </si>
  <si>
    <t>Bauer yogurt mild frut yogurt</t>
  </si>
  <si>
    <t>20x100gm</t>
  </si>
  <si>
    <t xml:space="preserve">Barista milk </t>
  </si>
  <si>
    <t xml:space="preserve">Snickers creamy </t>
  </si>
  <si>
    <t>Fulfil 1 box</t>
  </si>
  <si>
    <t xml:space="preserve">Muesli Choco </t>
  </si>
  <si>
    <t>1700gm/pkt</t>
  </si>
  <si>
    <t xml:space="preserve">Mikado </t>
  </si>
  <si>
    <t xml:space="preserve">Baren milk </t>
  </si>
  <si>
    <t xml:space="preserve">Hafer milk </t>
  </si>
  <si>
    <t xml:space="preserve">Barista Koko milk </t>
  </si>
  <si>
    <t xml:space="preserve">Barista almond Milk </t>
  </si>
  <si>
    <t xml:space="preserve">Be kind dark chocolate raspberry </t>
  </si>
  <si>
    <t xml:space="preserve">Be kind dark chocolate nut </t>
  </si>
  <si>
    <t xml:space="preserve">Be kind caramel nut </t>
  </si>
  <si>
    <t xml:space="preserve">Be kind crunchy peanut butter </t>
  </si>
  <si>
    <t xml:space="preserve">Bretzle Box </t>
  </si>
  <si>
    <t xml:space="preserve">Bueno kinder </t>
  </si>
  <si>
    <t xml:space="preserve">Riegel kinder </t>
  </si>
  <si>
    <t xml:space="preserve">Lotus biscuits </t>
  </si>
  <si>
    <t xml:space="preserve">Haribo </t>
  </si>
  <si>
    <t xml:space="preserve">Pears </t>
  </si>
  <si>
    <t xml:space="preserve">Kiwi </t>
  </si>
  <si>
    <t xml:space="preserve">Figs </t>
  </si>
  <si>
    <t xml:space="preserve">Apple </t>
  </si>
  <si>
    <t xml:space="preserve">Banana </t>
  </si>
  <si>
    <t xml:space="preserve">Plum </t>
  </si>
  <si>
    <t xml:space="preserve">Ginger </t>
  </si>
  <si>
    <t>200gm/pkt</t>
  </si>
  <si>
    <t xml:space="preserve">Lemon </t>
  </si>
  <si>
    <t>Alpro Berry Yogurt</t>
  </si>
  <si>
    <t>Alpro Strawberry Yogurt</t>
  </si>
  <si>
    <t>Bretzle Backed</t>
  </si>
  <si>
    <t xml:space="preserve">Butter Croisssant </t>
  </si>
  <si>
    <t>Haltbare Milk 1.5%</t>
  </si>
  <si>
    <t>Soya Milk Ohne Zucker</t>
  </si>
  <si>
    <t>32x50gm</t>
  </si>
  <si>
    <t>Vegan Croissant</t>
  </si>
  <si>
    <t>Frucht Musley</t>
  </si>
  <si>
    <t xml:space="preserve">Alpro Coconut Yogurt </t>
  </si>
  <si>
    <t>Mikado Milk Chocolate</t>
  </si>
  <si>
    <t>s</t>
  </si>
  <si>
    <t>18x50gm</t>
  </si>
  <si>
    <t>Barista Almond Milk</t>
  </si>
  <si>
    <t>Crunchy Granola Original</t>
  </si>
  <si>
    <t>2x300gm</t>
  </si>
  <si>
    <t>Pistachio Croissant</t>
  </si>
  <si>
    <t>Alpro Peach Yogurt</t>
  </si>
  <si>
    <t>Alpro Natural Yogurt</t>
  </si>
  <si>
    <t>Granola chocolate and nuts 1.5kg</t>
  </si>
  <si>
    <t>Jambala New Orleans 2.5kg</t>
  </si>
  <si>
    <t>Bucket</t>
  </si>
  <si>
    <t>Snickers Protein</t>
  </si>
  <si>
    <t xml:space="preserve">Be kind Peanut Butter dark chocolate nut </t>
  </si>
  <si>
    <t>Crunchy Granola coco Cherry300gm</t>
  </si>
  <si>
    <t>Granola Chocolate Sea salt300gm</t>
  </si>
  <si>
    <t>Granola Original 300gm</t>
  </si>
  <si>
    <t>Alpro Soja Nature yogurt 400gm</t>
  </si>
  <si>
    <t>Aplro Soja Zintrone yogurt 400gm</t>
  </si>
  <si>
    <t>Weihestephan Jogurt 500gm 1.5%</t>
  </si>
  <si>
    <t>Minus yogurt</t>
  </si>
  <si>
    <t>Barista Milk 3 %</t>
  </si>
  <si>
    <t>Top H Fruit 75gmx20</t>
  </si>
  <si>
    <t>Orange 5kg</t>
  </si>
  <si>
    <t>Croisssant  mix</t>
  </si>
  <si>
    <t>Yogurt 150gm</t>
  </si>
  <si>
    <t>Nutella 3kg</t>
  </si>
  <si>
    <t>Lactose Free Milk</t>
  </si>
  <si>
    <t>Koko milk</t>
  </si>
  <si>
    <t>Almond Milk</t>
  </si>
  <si>
    <t>Soja Milk</t>
  </si>
  <si>
    <t>Diet Cola</t>
  </si>
  <si>
    <t>Bottle</t>
  </si>
  <si>
    <t>Sandwich</t>
  </si>
  <si>
    <t>portion</t>
  </si>
  <si>
    <t xml:space="preserve">Jam </t>
  </si>
  <si>
    <t>Flav</t>
  </si>
  <si>
    <t>370gm each</t>
  </si>
  <si>
    <t>Be Kind Protein Crunchy Peanut Butter</t>
  </si>
  <si>
    <t>Be Kind Protein Dark Chocolate</t>
  </si>
  <si>
    <t>Rahmjogurt</t>
  </si>
  <si>
    <t>150 gm</t>
  </si>
  <si>
    <t>Cola</t>
  </si>
  <si>
    <t>Fanta</t>
  </si>
  <si>
    <t>bottle</t>
  </si>
  <si>
    <t>Sky Passion Fruit</t>
  </si>
  <si>
    <t>Red Paprika</t>
  </si>
  <si>
    <t>Cherry tomatoes</t>
  </si>
  <si>
    <t>300gm</t>
  </si>
  <si>
    <t>Siegal Frischkase</t>
  </si>
  <si>
    <t>Frisch kase</t>
  </si>
  <si>
    <t>Blueberry muffin</t>
  </si>
  <si>
    <t>Chocolate muffin</t>
  </si>
  <si>
    <t>Sprites</t>
  </si>
  <si>
    <t>Net</t>
  </si>
  <si>
    <t>VAT</t>
  </si>
  <si>
    <t>Lemonaid</t>
  </si>
  <si>
    <t>Muffin</t>
  </si>
  <si>
    <t>Drinks</t>
  </si>
  <si>
    <t>Price per Unit</t>
  </si>
  <si>
    <t>Peach</t>
  </si>
  <si>
    <t>Apricot</t>
  </si>
  <si>
    <t>pkt 200gm</t>
  </si>
  <si>
    <t>Carrots</t>
  </si>
  <si>
    <t>bag 1.5kg</t>
  </si>
  <si>
    <t>Paprika Mix</t>
  </si>
  <si>
    <t>box 5kg</t>
  </si>
  <si>
    <t>Cucumber</t>
  </si>
  <si>
    <t>Cherry Tomatoes</t>
  </si>
  <si>
    <t>Barista Milk 3%</t>
  </si>
  <si>
    <t>Coca Cola</t>
  </si>
  <si>
    <t>Cola Light</t>
  </si>
  <si>
    <t>Fruit Mix Yogurt</t>
  </si>
  <si>
    <t>pack of 20</t>
  </si>
  <si>
    <t>Bretzel Baked</t>
  </si>
  <si>
    <t>Croissant Mix</t>
  </si>
  <si>
    <t>Chives Pizza</t>
  </si>
  <si>
    <t>Cocacola Light</t>
  </si>
  <si>
    <t>Cocacola</t>
  </si>
  <si>
    <t>Milch 1.5%</t>
  </si>
  <si>
    <t>Mikado</t>
  </si>
  <si>
    <t>Jam</t>
  </si>
  <si>
    <t>can</t>
  </si>
  <si>
    <t>pkt 500gm</t>
  </si>
  <si>
    <t>Milk 1.5%</t>
  </si>
  <si>
    <t>Milk Lactose Free 3.5%</t>
  </si>
  <si>
    <t>Muesli (3 types)</t>
  </si>
  <si>
    <t>pkt 500g</t>
  </si>
  <si>
    <t>Muesli Früchte</t>
  </si>
  <si>
    <t>pkt 1kg</t>
  </si>
  <si>
    <t>Beef Jerky 10g</t>
  </si>
  <si>
    <t>Mr Beast Protein Bar</t>
  </si>
  <si>
    <t>ChariTea</t>
  </si>
  <si>
    <t>Coca Cola Light</t>
  </si>
  <si>
    <t>Be-Kind Dark Chocolate Raspberry</t>
  </si>
  <si>
    <t>Be-Kind Peanut Butter Dark Chocolate</t>
  </si>
  <si>
    <t>Vegan Yoghurt</t>
  </si>
  <si>
    <t>Normal Yoghurt</t>
  </si>
  <si>
    <t>Bauer Der Kleine 100g x20</t>
  </si>
  <si>
    <t>Nektarine</t>
  </si>
  <si>
    <t>Coconut Milk</t>
  </si>
  <si>
    <t xml:space="preserve">pkt </t>
  </si>
  <si>
    <t>Leibniz</t>
  </si>
  <si>
    <t>Tuc</t>
  </si>
  <si>
    <t>Pineapple Juice 1L</t>
  </si>
  <si>
    <t>Rauch Maracuja</t>
  </si>
  <si>
    <t>bottle 0.33L</t>
  </si>
  <si>
    <t>ChariTea Mix</t>
  </si>
  <si>
    <t>bottle 330ml</t>
  </si>
  <si>
    <t>Corny Mix Flavor</t>
  </si>
  <si>
    <t>pkt 6-piece</t>
  </si>
  <si>
    <t>Be-Kind Crunchy Peanut Butter</t>
  </si>
  <si>
    <t>pack 40g</t>
  </si>
  <si>
    <t>Ayran</t>
  </si>
  <si>
    <t>Finger Lime / Fingerlimette</t>
  </si>
  <si>
    <t>Pflaumen Blau (Plum)</t>
  </si>
  <si>
    <t>Fanta Exotic</t>
  </si>
  <si>
    <t>Muesli 1kg</t>
  </si>
  <si>
    <t>Muesli 500g</t>
  </si>
  <si>
    <t>Muesli Knusper Choco 1.5kg</t>
  </si>
  <si>
    <t>pkt 1.5kg</t>
  </si>
  <si>
    <t>Muesli Honig-Nuss 1.5kg</t>
  </si>
  <si>
    <t>Muesli Zartes Bircher Hafer 1.5kg</t>
  </si>
  <si>
    <t>Muesli Vitals 1.5kg</t>
  </si>
  <si>
    <t>Mixed Nuts</t>
  </si>
  <si>
    <t>Sunflower Seeds</t>
  </si>
  <si>
    <t>Pumpkin Seeds</t>
  </si>
  <si>
    <t>Lactose Free Yoghurt</t>
  </si>
  <si>
    <t>pkt 400g</t>
  </si>
  <si>
    <t>Bauer Mild Fruit Yogurt 20x100g</t>
  </si>
  <si>
    <t>KT (20x100g)</t>
  </si>
  <si>
    <t>Skyr Yogurt 4 x 400g</t>
  </si>
  <si>
    <t>Alpro Nature Yogurt 6 x 400g</t>
  </si>
  <si>
    <t>6x400g</t>
  </si>
  <si>
    <t>Grapes Red</t>
  </si>
  <si>
    <t>Nectarine</t>
  </si>
  <si>
    <t>pkt 200g</t>
  </si>
  <si>
    <t>Sprite</t>
  </si>
  <si>
    <t>Kölln Muesli Honig-Nuss</t>
  </si>
  <si>
    <t>pkt 1.7kg</t>
  </si>
  <si>
    <t>Kölln Muesli Zartes Bircher</t>
  </si>
  <si>
    <t>Kölln Muesli Schoko</t>
  </si>
  <si>
    <t>pkt 2kg</t>
  </si>
  <si>
    <t>Muesli Vitals Classic</t>
  </si>
  <si>
    <t>Lotus Biscoff 300 piece</t>
  </si>
  <si>
    <t>Beef Jerky</t>
  </si>
  <si>
    <t>Manner</t>
  </si>
  <si>
    <t>Happy Day Pineapple</t>
  </si>
  <si>
    <t>bottle 1L</t>
  </si>
  <si>
    <t>Raffaello</t>
  </si>
  <si>
    <t>pkt 230g</t>
  </si>
  <si>
    <t>Longness Honey</t>
  </si>
  <si>
    <t>jar 500g</t>
  </si>
  <si>
    <t>jar 350g</t>
  </si>
  <si>
    <t>KT (20x75g)</t>
  </si>
  <si>
    <t>Milk 3.5%</t>
  </si>
  <si>
    <t>Nutella Jars</t>
  </si>
  <si>
    <t>Muffins</t>
  </si>
  <si>
    <t>Croissant Flavor</t>
  </si>
  <si>
    <t>Butter Croissant</t>
  </si>
  <si>
    <t>Price/Unit</t>
  </si>
  <si>
    <t>Invoice Amount</t>
  </si>
  <si>
    <t>Markup factor</t>
  </si>
  <si>
    <t>Delivery / day (€)</t>
  </si>
  <si>
    <t>Croissant sell (€/unit)</t>
  </si>
  <si>
    <t>Bretzel sell (€/unit)</t>
  </si>
  <si>
    <t> </t>
  </si>
  <si>
    <t>Invoice incl. Delivery</t>
  </si>
  <si>
    <t>Milk 3.5% x24</t>
  </si>
  <si>
    <t>Cost Sheet PayPal — Delivery 01.06</t>
  </si>
  <si>
    <t>Milk oat x6</t>
  </si>
  <si>
    <t>Fiona premium mix x1 package</t>
  </si>
  <si>
    <t>Qty</t>
  </si>
  <si>
    <t>Unit Price (€)</t>
  </si>
  <si>
    <t>Line Total (€)</t>
  </si>
  <si>
    <t>Fruit mix x1</t>
  </si>
  <si>
    <t>Britzel Huber x1 box</t>
  </si>
  <si>
    <t>Conrny package x5</t>
  </si>
  <si>
    <t>Pringles x16</t>
  </si>
  <si>
    <t>Sprite x8</t>
  </si>
  <si>
    <t>Fanta exotic x10</t>
  </si>
  <si>
    <t>Cola zero x24</t>
  </si>
  <si>
    <t>FJR Apple x8</t>
  </si>
  <si>
    <t>FJR orange x10</t>
  </si>
  <si>
    <t>Kombucha x12</t>
  </si>
  <si>
    <t>Keep the reference.</t>
  </si>
  <si>
    <t>Lemon 1.5kg</t>
  </si>
  <si>
    <t>Grapes Red 2kg</t>
  </si>
  <si>
    <t>Orange 3kg</t>
  </si>
  <si>
    <t>Apricot 1kg</t>
  </si>
  <si>
    <t>Nectarine 2kg</t>
  </si>
  <si>
    <t>Banana 8kg</t>
  </si>
  <si>
    <t>Pear 2kg</t>
  </si>
  <si>
    <t>Plum 2kg</t>
  </si>
  <si>
    <t>Strawberry 3x500g</t>
  </si>
  <si>
    <t>m&amp;m blue x1 package</t>
  </si>
  <si>
    <t>Cost Sheet — Delivery 03.06</t>
  </si>
  <si>
    <t>Paypal</t>
  </si>
  <si>
    <t>snickers x1 package</t>
  </si>
  <si>
    <t>Manner x1package</t>
  </si>
  <si>
    <t>Honey x1</t>
  </si>
  <si>
    <t>Charities 4 boxx6packagex20g</t>
  </si>
  <si>
    <t>Fruit dry x1kg</t>
  </si>
  <si>
    <t>Mueslix2kg</t>
  </si>
  <si>
    <t>Beef jerry 10gx30</t>
  </si>
  <si>
    <t>Be-kind dark choco protein x3 package</t>
  </si>
  <si>
    <t>Milkx24 3.5%</t>
  </si>
  <si>
    <t>Milk x12 1,5%</t>
  </si>
  <si>
    <t>Oat milk x9</t>
  </si>
  <si>
    <t>Soya milch x 4</t>
  </si>
  <si>
    <t>Milk coco x3</t>
  </si>
  <si>
    <t>+ pastry mix</t>
  </si>
  <si>
    <t>all jogurt received last  34 400gm</t>
  </si>
  <si>
    <t>banana 8kg</t>
  </si>
  <si>
    <t>papryka 0.5 kg</t>
  </si>
  <si>
    <t>lemon 1 kg</t>
  </si>
  <si>
    <t>orange 3 kg</t>
  </si>
  <si>
    <t>grape 1 kg</t>
  </si>
  <si>
    <t>apple 4 kg</t>
  </si>
  <si>
    <t>strawberry 2.5 kg</t>
  </si>
  <si>
    <t>plume 1 kg</t>
  </si>
  <si>
    <t>Appricot 1 kg</t>
  </si>
  <si>
    <t>cherry tomato 0.5kg</t>
  </si>
  <si>
    <t>Muffins   10 piece</t>
  </si>
  <si>
    <t>Bretzel piece</t>
  </si>
  <si>
    <t>Bread 4 piece</t>
  </si>
  <si>
    <t>Croissant Flavor      10. piece</t>
  </si>
  <si>
    <t>Butter Croissant     15. piece</t>
  </si>
  <si>
    <t>Beef jerky x 30</t>
  </si>
  <si>
    <t>Marx1package</t>
  </si>
  <si>
    <t>Twix x1 package</t>
  </si>
  <si>
    <t>Products</t>
  </si>
  <si>
    <t>Q</t>
  </si>
  <si>
    <t>Snikers x1 package</t>
  </si>
  <si>
    <t>Brezel 10x2 grosse ( 1 package)</t>
  </si>
  <si>
    <t>Merci petits chocolate collection 1kgx1pack</t>
  </si>
  <si>
    <t>Corny x12 packages</t>
  </si>
  <si>
    <t>Chips finelife x 4 (150g)</t>
  </si>
  <si>
    <t>Peanuts x1kg</t>
  </si>
  <si>
    <t>Granola x1kg</t>
  </si>
  <si>
    <t>Honey x1kg</t>
  </si>
  <si>
    <t>Milk x36</t>
  </si>
  <si>
    <t>Oat milk x 13</t>
  </si>
  <si>
    <t>Fanta  24x0.2l</t>
  </si>
  <si>
    <t>Sprites 24x0.33l</t>
  </si>
  <si>
    <t>coca Cola x12</t>
  </si>
  <si>
    <t>cocacola light x12 bottle</t>
  </si>
  <si>
    <t>Kombucha x1</t>
  </si>
  <si>
    <t>Fruits ( I attached photo)</t>
  </si>
  <si>
    <t>Muffins 10 piece</t>
  </si>
  <si>
    <t>Bretzel 10 piece</t>
  </si>
  <si>
    <t>Croissant  Flavor  10 piece</t>
  </si>
  <si>
    <t>Butter Croissant 15 piece</t>
  </si>
  <si>
    <t>paprika mix 0.5kg</t>
  </si>
  <si>
    <t>lemon 1.5 kg</t>
  </si>
  <si>
    <t>grape red 2kg</t>
  </si>
  <si>
    <t>apple 1.5 kg</t>
  </si>
  <si>
    <t>strawberry 3x500gm</t>
  </si>
  <si>
    <t>plume 2 kg</t>
  </si>
  <si>
    <t>pear 2kg</t>
  </si>
  <si>
    <t>Lemons 0.5kg</t>
  </si>
  <si>
    <t>Cost Sheet — Delivery 10.06</t>
  </si>
  <si>
    <t>Grapes 1kg</t>
  </si>
  <si>
    <t>Apple 2kg</t>
  </si>
  <si>
    <t>Apricot 2kg</t>
  </si>
  <si>
    <t>Strawberry 3x500gm</t>
  </si>
  <si>
    <t>Mix Bell pepper 0.8kg</t>
  </si>
  <si>
    <t>Cucumber 0.5kg</t>
  </si>
  <si>
    <t>Milk 3.5% 10L</t>
  </si>
  <si>
    <t>Almond Milk 12L</t>
  </si>
  <si>
    <t>Bretzel 15 piece</t>
  </si>
  <si>
    <t>Croissant Flavor 10 piece</t>
  </si>
  <si>
    <t>Cost Sheet — Delivery 15.06.2026 (Monday)</t>
  </si>
  <si>
    <t>Icetea x24</t>
  </si>
  <si>
    <t>Red bull x10</t>
  </si>
  <si>
    <t>Charitea x20</t>
  </si>
  <si>
    <t>Coca Cola x11</t>
  </si>
  <si>
    <t>Party redness 450gr x2</t>
  </si>
  <si>
    <t>Pop corn 200g x2</t>
  </si>
  <si>
    <t>Lotus biscuit (300 pcs) x1 pkg</t>
  </si>
  <si>
    <t>Kinder country x4 packages</t>
  </si>
  <si>
    <t>Wasa French herbs 205g x1</t>
  </si>
  <si>
    <t>Wasa sesame sea salt 205g x1</t>
  </si>
  <si>
    <t>Hanuta x2 package</t>
  </si>
  <si>
    <t>Kinder Bueno x2</t>
  </si>
  <si>
    <t>Raffaello x1 package</t>
  </si>
  <si>
    <t>Studenten futter x1 package</t>
  </si>
  <si>
    <t>Nicnac x1 package</t>
  </si>
  <si>
    <t>Mars x1 package</t>
  </si>
  <si>
    <t>Huober minis x1 package</t>
  </si>
  <si>
    <t>Grosse bretzlen x1 package</t>
  </si>
  <si>
    <t>Be-kind dark choco protein x24</t>
  </si>
  <si>
    <t>Lemon 0.5kg</t>
  </si>
  <si>
    <t>Grapes 3kg</t>
  </si>
  <si>
    <t>Peach 2kg</t>
  </si>
  <si>
    <t>Strawberry 1.5kg</t>
  </si>
  <si>
    <t>Bell mix pepper 0.5kg</t>
  </si>
  <si>
    <t>Cost Sheet — Delivery 17.06.2026 (Wednesday)</t>
  </si>
  <si>
    <t>Kombucha x24</t>
  </si>
  <si>
    <t>Diet Cola x24</t>
  </si>
  <si>
    <t>Milk 3.5% x36</t>
  </si>
  <si>
    <t>Bretzle (10) x1 package</t>
  </si>
  <si>
    <t>Bauer (100gr) x24</t>
  </si>
  <si>
    <t>Jogurt (500gr) x3</t>
  </si>
  <si>
    <t>Lotus 1.6kg</t>
  </si>
  <si>
    <t>Birne (Pear) 2kg</t>
  </si>
  <si>
    <t>Kiwi 1kg</t>
  </si>
  <si>
    <t>Grapes 2kg</t>
  </si>
  <si>
    <t>Cucumber x2 pcs</t>
  </si>
  <si>
    <t>Paprika 500g</t>
  </si>
  <si>
    <t>Strawberry 2kg</t>
  </si>
  <si>
    <t>Apple 1kg</t>
  </si>
  <si>
    <t>Pantry Cost — Paypal | Monday 22.06.2026</t>
  </si>
  <si>
    <t>Milk 1.5% (1 l)</t>
  </si>
  <si>
    <t>Milk oat (1 l)</t>
  </si>
  <si>
    <t>Diet cola (Coca Cola Light 0.33 l)</t>
  </si>
  <si>
    <t>Cola (Coca Cola 0.33 l)</t>
  </si>
  <si>
    <t>Fanta Orange (0.33 l)</t>
  </si>
  <si>
    <t>Sprite (0.33 l)</t>
  </si>
  <si>
    <t>Kombucha (0.33 l)</t>
  </si>
  <si>
    <t>Pringles (40 g)</t>
  </si>
  <si>
    <t>Party mix (Xox 300 g)</t>
  </si>
  <si>
    <t>Haribo Gold Bears (75 g)</t>
  </si>
  <si>
    <t>Fruit dry mix (Mix Nuts 1 kg)</t>
  </si>
  <si>
    <t>Kinder Country (1 pc)</t>
  </si>
  <si>
    <t>Corny mix (6-pack)</t>
  </si>
  <si>
    <t>Bretzel (18 pc box)</t>
  </si>
  <si>
    <t>Bread (Vollkorn 750 g)</t>
  </si>
  <si>
    <t>Ayran (Gazi 250 ml)</t>
  </si>
  <si>
    <t>Yogurt top (Fruit Yoghurt 75 g)</t>
  </si>
  <si>
    <t>Grapes Red (per kg)</t>
  </si>
  <si>
    <t>Orange (per kg)</t>
  </si>
  <si>
    <t>Apricot (per kg)</t>
  </si>
  <si>
    <t>Nectarine (per kg)</t>
  </si>
  <si>
    <t>Pear (per kg)</t>
  </si>
  <si>
    <t>Banana (per kg)</t>
  </si>
  <si>
    <t>Plum (per kg)</t>
  </si>
  <si>
    <t>Strawberry (per kg)</t>
  </si>
  <si>
    <t>Apple (per kg)</t>
  </si>
  <si>
    <t>Cherry tomatoes (per kg)</t>
  </si>
  <si>
    <t>Cucumber (per kg)</t>
  </si>
  <si>
    <t>Pantry Cost — Paypal | Wednesday 24.06.2026</t>
  </si>
  <si>
    <t>Diet coca cola (0.33 l)</t>
  </si>
  <si>
    <t>Ice tea (FJ Rauch 0.33 l)</t>
  </si>
  <si>
    <t>Muesli (Brüggen 1 kg)</t>
  </si>
  <si>
    <t>Huober minis (1 box)</t>
  </si>
  <si>
    <t>Be-Kind dark chocolate nut</t>
  </si>
  <si>
    <t>Lemon (per kg)</t>
  </si>
  <si>
    <t>Mix paprika/peppers (per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</si>
</sst>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\ * #,##0.00_);_([$€-2]\ * \(#,##0.00\);_([$€-2]\ * &quot;-&quot;??_);_(@_)"/>
    <numFmt numFmtId="165" formatCode="\€#,##0.00"/>
    <numFmt numFmtId="166" formatCode="0.##"/>
  </numFmts>
  <fonts count="40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2D72"/>
      <name val="Lato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 val="double"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33435B"/>
      <name val="Lato"/>
      <charset val="1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rgb="FF000000"/>
      <name val="ArialMT"/>
      <charset val="1"/>
    </font>
    <font>
      <b/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rgb="FFFFFFFF"/>
      <name val="Arial"/>
      <family val="2"/>
    </font>
    <font>
      <sz val="11"/>
      <color rgb="FF000000"/>
      <name val="Calibri"/>
      <family val="2"/>
      <charset val="1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82E391"/>
        <bgColor indexed="64"/>
      </patternFill>
    </fill>
    <fill>
      <patternFill patternType="solid">
        <fgColor rgb="FFC0F1C8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4472C4"/>
        <bgColor rgb="FF467886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3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1" applyBorder="1"/>
    <xf numFmtId="0" fontId="8" fillId="0" borderId="1" xfId="0" applyFont="1" applyBorder="1"/>
    <xf numFmtId="0" fontId="6" fillId="0" borderId="1" xfId="0" applyFont="1" applyBorder="1"/>
    <xf numFmtId="0" fontId="9" fillId="2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3" fillId="4" borderId="1" xfId="0" applyFont="1" applyFill="1" applyBorder="1"/>
    <xf numFmtId="0" fontId="6" fillId="4" borderId="1" xfId="0" applyFont="1" applyFill="1" applyBorder="1"/>
    <xf numFmtId="0" fontId="8" fillId="4" borderId="1" xfId="0" applyFont="1" applyFill="1" applyBorder="1"/>
    <xf numFmtId="0" fontId="0" fillId="3" borderId="1" xfId="0" applyFill="1" applyBorder="1"/>
    <xf numFmtId="0" fontId="10" fillId="3" borderId="1" xfId="0" applyFont="1" applyFill="1" applyBorder="1"/>
    <xf numFmtId="0" fontId="0" fillId="0" borderId="2" xfId="0" applyBorder="1"/>
    <xf numFmtId="0" fontId="0" fillId="2" borderId="0" xfId="0" applyFill="1"/>
    <xf numFmtId="0" fontId="6" fillId="2" borderId="1" xfId="0" applyFont="1" applyFill="1" applyBorder="1"/>
    <xf numFmtId="0" fontId="3" fillId="2" borderId="1" xfId="0" applyFont="1" applyFill="1" applyBorder="1"/>
    <xf numFmtId="0" fontId="0" fillId="0" borderId="1" xfId="0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3" fillId="0" borderId="2" xfId="0" applyFont="1" applyBorder="1"/>
    <xf numFmtId="0" fontId="6" fillId="0" borderId="2" xfId="0" applyFont="1" applyBorder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9" fontId="0" fillId="0" borderId="0" xfId="0" applyNumberFormat="1"/>
    <xf numFmtId="0" fontId="3" fillId="5" borderId="2" xfId="0" applyFont="1" applyFill="1" applyBorder="1"/>
    <xf numFmtId="0" fontId="6" fillId="5" borderId="2" xfId="0" applyFont="1" applyFill="1" applyBorder="1"/>
    <xf numFmtId="0" fontId="0" fillId="2" borderId="3" xfId="0" applyFill="1" applyBorder="1"/>
    <xf numFmtId="0" fontId="0" fillId="6" borderId="1" xfId="0" applyFill="1" applyBorder="1"/>
    <xf numFmtId="0" fontId="0" fillId="6" borderId="3" xfId="0" applyFill="1" applyBorder="1"/>
    <xf numFmtId="0" fontId="0" fillId="7" borderId="1" xfId="0" applyFill="1" applyBorder="1"/>
    <xf numFmtId="0" fontId="0" fillId="7" borderId="3" xfId="0" applyFill="1" applyBorder="1"/>
    <xf numFmtId="0" fontId="3" fillId="2" borderId="4" xfId="0" applyFont="1" applyFill="1" applyBorder="1" applyAlignment="1">
      <alignment horizontal="center"/>
    </xf>
    <xf numFmtId="0" fontId="0" fillId="9" borderId="1" xfId="0" applyFill="1" applyBorder="1"/>
    <xf numFmtId="0" fontId="0" fillId="9" borderId="3" xfId="0" applyFill="1" applyBorder="1"/>
    <xf numFmtId="0" fontId="0" fillId="7" borderId="1" xfId="0" applyFill="1" applyBorder="1" applyAlignment="1">
      <alignment horizontal="left"/>
    </xf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3" fillId="0" borderId="0" xfId="0" applyFont="1"/>
    <xf numFmtId="0" fontId="0" fillId="3" borderId="3" xfId="0" applyFill="1" applyBorder="1"/>
    <xf numFmtId="0" fontId="0" fillId="3" borderId="4" xfId="0" applyFill="1" applyBorder="1"/>
    <xf numFmtId="0" fontId="0" fillId="3" borderId="2" xfId="0" applyFill="1" applyBorder="1"/>
    <xf numFmtId="0" fontId="3" fillId="0" borderId="3" xfId="0" applyFont="1" applyBorder="1"/>
    <xf numFmtId="49" fontId="3" fillId="9" borderId="5" xfId="0" applyNumberFormat="1" applyFont="1" applyFill="1" applyBorder="1" applyAlignment="1">
      <alignment horizontal="center"/>
    </xf>
    <xf numFmtId="49" fontId="0" fillId="9" borderId="5" xfId="0" applyNumberFormat="1" applyFill="1" applyBorder="1"/>
    <xf numFmtId="49" fontId="0" fillId="9" borderId="6" xfId="0" applyNumberFormat="1" applyFill="1" applyBorder="1"/>
    <xf numFmtId="49" fontId="0" fillId="9" borderId="1" xfId="0" applyNumberFormat="1" applyFill="1" applyBorder="1"/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/>
    <xf numFmtId="0" fontId="13" fillId="2" borderId="2" xfId="0" applyFont="1" applyFill="1" applyBorder="1"/>
    <xf numFmtId="49" fontId="0" fillId="2" borderId="5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0" borderId="1" xfId="0" applyNumberFormat="1" applyBorder="1"/>
    <xf numFmtId="0" fontId="0" fillId="11" borderId="1" xfId="0" applyFill="1" applyBorder="1"/>
    <xf numFmtId="0" fontId="0" fillId="6" borderId="1" xfId="0" applyFill="1" applyBorder="1" applyAlignment="1">
      <alignment horizontal="left"/>
    </xf>
    <xf numFmtId="0" fontId="7" fillId="5" borderId="2" xfId="0" applyFont="1" applyFill="1" applyBorder="1"/>
    <xf numFmtId="0" fontId="14" fillId="5" borderId="2" xfId="0" applyFont="1" applyFill="1" applyBorder="1"/>
    <xf numFmtId="49" fontId="0" fillId="0" borderId="3" xfId="0" applyNumberFormat="1" applyBorder="1"/>
    <xf numFmtId="0" fontId="7" fillId="5" borderId="4" xfId="0" applyFont="1" applyFill="1" applyBorder="1"/>
    <xf numFmtId="0" fontId="0" fillId="11" borderId="3" xfId="0" applyFill="1" applyBorder="1"/>
    <xf numFmtId="49" fontId="15" fillId="0" borderId="1" xfId="0" applyNumberFormat="1" applyFont="1" applyBorder="1"/>
    <xf numFmtId="0" fontId="4" fillId="0" borderId="1" xfId="1" applyBorder="1" applyAlignment="1">
      <alignment wrapText="1"/>
    </xf>
    <xf numFmtId="49" fontId="16" fillId="0" borderId="1" xfId="0" applyNumberFormat="1" applyFont="1" applyBorder="1"/>
    <xf numFmtId="0" fontId="16" fillId="0" borderId="1" xfId="0" applyFont="1" applyBorder="1"/>
    <xf numFmtId="0" fontId="16" fillId="6" borderId="1" xfId="0" applyFont="1" applyFill="1" applyBorder="1"/>
    <xf numFmtId="0" fontId="16" fillId="11" borderId="1" xfId="0" applyFont="1" applyFill="1" applyBorder="1"/>
    <xf numFmtId="0" fontId="16" fillId="10" borderId="1" xfId="0" applyFont="1" applyFill="1" applyBorder="1"/>
    <xf numFmtId="0" fontId="16" fillId="9" borderId="1" xfId="0" applyFont="1" applyFill="1" applyBorder="1"/>
    <xf numFmtId="0" fontId="16" fillId="6" borderId="1" xfId="0" applyFont="1" applyFill="1" applyBorder="1" applyAlignment="1">
      <alignment horizontal="left"/>
    </xf>
    <xf numFmtId="49" fontId="17" fillId="2" borderId="5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1" xfId="0" applyFont="1" applyFill="1" applyBorder="1"/>
    <xf numFmtId="0" fontId="0" fillId="2" borderId="1" xfId="0" applyFill="1" applyBorder="1" applyAlignment="1">
      <alignment horizontal="right" vertical="center"/>
    </xf>
    <xf numFmtId="49" fontId="0" fillId="2" borderId="1" xfId="0" applyNumberFormat="1" applyFill="1" applyBorder="1"/>
    <xf numFmtId="49" fontId="0" fillId="2" borderId="0" xfId="0" applyNumberFormat="1" applyFill="1"/>
    <xf numFmtId="0" fontId="7" fillId="2" borderId="2" xfId="0" applyFont="1" applyFill="1" applyBorder="1"/>
    <xf numFmtId="0" fontId="14" fillId="2" borderId="2" xfId="0" applyFont="1" applyFill="1" applyBorder="1"/>
    <xf numFmtId="49" fontId="0" fillId="2" borderId="3" xfId="0" applyNumberFormat="1" applyFill="1" applyBorder="1"/>
    <xf numFmtId="0" fontId="7" fillId="2" borderId="4" xfId="0" applyFont="1" applyFill="1" applyBorder="1"/>
    <xf numFmtId="49" fontId="15" fillId="2" borderId="1" xfId="0" applyNumberFormat="1" applyFont="1" applyFill="1" applyBorder="1"/>
    <xf numFmtId="0" fontId="4" fillId="2" borderId="1" xfId="1" applyFill="1" applyBorder="1" applyAlignment="1">
      <alignment wrapText="1"/>
    </xf>
    <xf numFmtId="0" fontId="3" fillId="5" borderId="2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12" borderId="1" xfId="0" applyFont="1" applyFill="1" applyBorder="1"/>
    <xf numFmtId="164" fontId="3" fillId="2" borderId="1" xfId="0" applyNumberFormat="1" applyFont="1" applyFill="1" applyBorder="1"/>
    <xf numFmtId="164" fontId="13" fillId="2" borderId="1" xfId="0" applyNumberFormat="1" applyFont="1" applyFill="1" applyBorder="1"/>
    <xf numFmtId="164" fontId="3" fillId="8" borderId="0" xfId="0" applyNumberFormat="1" applyFont="1" applyFill="1"/>
    <xf numFmtId="164" fontId="0" fillId="2" borderId="0" xfId="0" applyNumberFormat="1" applyFill="1"/>
    <xf numFmtId="0" fontId="0" fillId="5" borderId="2" xfId="0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6" fillId="9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0" fontId="18" fillId="0" borderId="0" xfId="0" applyFont="1"/>
    <xf numFmtId="164" fontId="0" fillId="0" borderId="0" xfId="0" applyNumberFormat="1"/>
    <xf numFmtId="1" fontId="0" fillId="0" borderId="0" xfId="0" applyNumberFormat="1"/>
    <xf numFmtId="1" fontId="0" fillId="0" borderId="1" xfId="0" applyNumberFormat="1" applyBorder="1"/>
    <xf numFmtId="0" fontId="17" fillId="2" borderId="1" xfId="0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left" wrapText="1"/>
    </xf>
    <xf numFmtId="0" fontId="0" fillId="0" borderId="0" xfId="0" applyAlignment="1">
      <alignment horizontal="left"/>
    </xf>
    <xf numFmtId="0" fontId="17" fillId="2" borderId="3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7" fillId="2" borderId="3" xfId="0" applyFont="1" applyFill="1" applyBorder="1" applyAlignment="1">
      <alignment horizontal="right"/>
    </xf>
    <xf numFmtId="0" fontId="0" fillId="9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9" borderId="0" xfId="0" applyFill="1"/>
    <xf numFmtId="164" fontId="17" fillId="2" borderId="3" xfId="0" applyNumberFormat="1" applyFont="1" applyFill="1" applyBorder="1" applyAlignment="1">
      <alignment horizontal="center"/>
    </xf>
    <xf numFmtId="164" fontId="0" fillId="10" borderId="2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0" xfId="0" applyFill="1"/>
    <xf numFmtId="0" fontId="17" fillId="2" borderId="1" xfId="0" applyFont="1" applyFill="1" applyBorder="1" applyAlignment="1">
      <alignment horizontal="left" vertical="top"/>
    </xf>
    <xf numFmtId="0" fontId="0" fillId="9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64" fontId="0" fillId="7" borderId="0" xfId="0" applyNumberFormat="1" applyFill="1"/>
    <xf numFmtId="164" fontId="0" fillId="2" borderId="1" xfId="0" applyNumberFormat="1" applyFill="1" applyBorder="1"/>
    <xf numFmtId="164" fontId="3" fillId="2" borderId="2" xfId="0" applyNumberFormat="1" applyFont="1" applyFill="1" applyBorder="1"/>
    <xf numFmtId="0" fontId="19" fillId="13" borderId="0" xfId="0" applyFont="1" applyFill="1"/>
    <xf numFmtId="165" fontId="0" fillId="0" borderId="0" xfId="0" applyNumberFormat="1"/>
    <xf numFmtId="0" fontId="3" fillId="0" borderId="7" xfId="0" applyFont="1" applyBorder="1"/>
    <xf numFmtId="0" fontId="0" fillId="0" borderId="7" xfId="0" applyBorder="1"/>
    <xf numFmtId="165" fontId="3" fillId="0" borderId="7" xfId="0" applyNumberFormat="1" applyFont="1" applyBorder="1"/>
    <xf numFmtId="4" fontId="0" fillId="0" borderId="0" xfId="0" applyNumberFormat="1"/>
    <xf numFmtId="49" fontId="17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right"/>
    </xf>
    <xf numFmtId="164" fontId="17" fillId="2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right"/>
    </xf>
    <xf numFmtId="0" fontId="3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0" fillId="9" borderId="3" xfId="0" applyFill="1" applyBorder="1" applyAlignment="1">
      <alignment horizontal="right"/>
    </xf>
    <xf numFmtId="0" fontId="0" fillId="0" borderId="3" xfId="0" applyBorder="1" applyAlignment="1">
      <alignment horizontal="left"/>
    </xf>
    <xf numFmtId="0" fontId="0" fillId="6" borderId="3" xfId="0" applyFill="1" applyBorder="1" applyAlignment="1">
      <alignment horizontal="center"/>
    </xf>
    <xf numFmtId="164" fontId="0" fillId="10" borderId="3" xfId="0" applyNumberFormat="1" applyFill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164" fontId="3" fillId="2" borderId="8" xfId="0" applyNumberFormat="1" applyFont="1" applyFill="1" applyBorder="1"/>
    <xf numFmtId="164" fontId="0" fillId="2" borderId="9" xfId="0" applyNumberFormat="1" applyFill="1" applyBorder="1"/>
    <xf numFmtId="164" fontId="0" fillId="10" borderId="3" xfId="0" applyNumberFormat="1" applyFill="1" applyBorder="1"/>
    <xf numFmtId="164" fontId="0" fillId="14" borderId="1" xfId="0" applyNumberFormat="1" applyFill="1" applyBorder="1" applyAlignment="1">
      <alignment horizontal="center"/>
    </xf>
    <xf numFmtId="164" fontId="0" fillId="14" borderId="3" xfId="0" applyNumberFormat="1" applyFill="1" applyBorder="1" applyAlignment="1">
      <alignment horizontal="center"/>
    </xf>
    <xf numFmtId="164" fontId="0" fillId="7" borderId="3" xfId="0" applyNumberFormat="1" applyFill="1" applyBorder="1"/>
    <xf numFmtId="164" fontId="0" fillId="15" borderId="1" xfId="0" applyNumberFormat="1" applyFill="1" applyBorder="1" applyAlignment="1">
      <alignment horizontal="center"/>
    </xf>
    <xf numFmtId="164" fontId="0" fillId="15" borderId="3" xfId="0" applyNumberFormat="1" applyFill="1" applyBorder="1" applyAlignment="1">
      <alignment horizontal="center"/>
    </xf>
    <xf numFmtId="0" fontId="0" fillId="16" borderId="1" xfId="0" applyFill="1" applyBorder="1"/>
    <xf numFmtId="0" fontId="0" fillId="17" borderId="1" xfId="0" applyFill="1" applyBorder="1"/>
    <xf numFmtId="0" fontId="0" fillId="17" borderId="3" xfId="0" applyFill="1" applyBorder="1"/>
    <xf numFmtId="0" fontId="0" fillId="16" borderId="3" xfId="0" applyFill="1" applyBorder="1"/>
    <xf numFmtId="164" fontId="3" fillId="5" borderId="1" xfId="0" applyNumberFormat="1" applyFont="1" applyFill="1" applyBorder="1"/>
    <xf numFmtId="164" fontId="0" fillId="5" borderId="1" xfId="0" applyNumberFormat="1" applyFill="1" applyBorder="1"/>
    <xf numFmtId="0" fontId="0" fillId="5" borderId="2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9" borderId="9" xfId="0" applyFill="1" applyBorder="1" applyAlignment="1">
      <alignment horizontal="right"/>
    </xf>
    <xf numFmtId="0" fontId="14" fillId="5" borderId="0" xfId="0" applyFont="1" applyFill="1"/>
    <xf numFmtId="0" fontId="20" fillId="18" borderId="0" xfId="0" applyFont="1" applyFill="1"/>
    <xf numFmtId="0" fontId="22" fillId="0" borderId="7" xfId="0" applyFont="1" applyBorder="1"/>
    <xf numFmtId="165" fontId="22" fillId="0" borderId="7" xfId="0" applyNumberFormat="1" applyFont="1" applyBorder="1"/>
    <xf numFmtId="165" fontId="14" fillId="5" borderId="0" xfId="0" applyNumberFormat="1" applyFont="1" applyFill="1"/>
    <xf numFmtId="0" fontId="21" fillId="5" borderId="0" xfId="0" applyFont="1" applyFill="1"/>
    <xf numFmtId="165" fontId="21" fillId="5" borderId="0" xfId="0" applyNumberFormat="1" applyFont="1" applyFill="1"/>
    <xf numFmtId="0" fontId="22" fillId="0" borderId="0" xfId="0" applyFont="1"/>
    <xf numFmtId="165" fontId="22" fillId="0" borderId="0" xfId="0" applyNumberFormat="1" applyFont="1"/>
    <xf numFmtId="0" fontId="23" fillId="0" borderId="0" xfId="0" applyFont="1"/>
    <xf numFmtId="165" fontId="23" fillId="0" borderId="0" xfId="0" applyNumberFormat="1" applyFont="1"/>
    <xf numFmtId="0" fontId="14" fillId="2" borderId="0" xfId="0" applyFont="1" applyFill="1"/>
    <xf numFmtId="165" fontId="21" fillId="2" borderId="0" xfId="0" applyNumberFormat="1" applyFont="1" applyFill="1"/>
    <xf numFmtId="0" fontId="21" fillId="2" borderId="0" xfId="0" applyFont="1" applyFill="1"/>
    <xf numFmtId="9" fontId="0" fillId="0" borderId="0" xfId="0" applyNumberFormat="1"/>
    <xf numFmtId="0" fontId="3" fillId="19" borderId="10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165" fontId="0" fillId="0" borderId="1" xfId="0" applyNumberFormat="1" applyBorder="1"/>
    <xf numFmtId="165" fontId="0" fillId="0" borderId="10" xfId="0" applyNumberFormat="1" applyBorder="1"/>
    <xf numFmtId="0" fontId="0" fillId="0" borderId="11" xfId="0" applyBorder="1"/>
    <xf numFmtId="0" fontId="3" fillId="20" borderId="11" xfId="0" applyFont="1" applyFill="1" applyBorder="1" applyAlignment="1">
      <alignment horizontal="right"/>
    </xf>
    <xf numFmtId="165" fontId="3" fillId="20" borderId="12" xfId="0" applyNumberFormat="1" applyFont="1" applyFill="1" applyBorder="1"/>
    <xf numFmtId="0" fontId="24" fillId="19" borderId="13" xfId="0" applyFont="1" applyFill="1" applyBorder="1" applyAlignment="1">
      <alignment horizontal="center"/>
    </xf>
    <xf numFmtId="0" fontId="0" fillId="0" borderId="13" xfId="0" applyBorder="1"/>
    <xf numFmtId="0" fontId="24" fillId="20" borderId="13" xfId="0" applyFont="1" applyFill="1" applyBorder="1" applyAlignment="1">
      <alignment horizontal="right"/>
    </xf>
    <xf numFmtId="165" fontId="24" fillId="20" borderId="13" xfId="0" applyNumberFormat="1" applyFont="1" applyFill="1" applyBorder="1"/>
    <xf numFmtId="0" fontId="25" fillId="0" borderId="1" xfId="0" applyFont="1" applyBorder="1"/>
    <xf numFmtId="165" fontId="25" fillId="0" borderId="1" xfId="0" applyNumberFormat="1" applyFont="1" applyBorder="1"/>
    <xf numFmtId="0" fontId="24" fillId="20" borderId="1" xfId="0" applyFont="1" applyFill="1" applyBorder="1" applyAlignment="1">
      <alignment horizontal="right"/>
    </xf>
    <xf numFmtId="165" fontId="24" fillId="20" borderId="1" xfId="0" applyNumberFormat="1" applyFont="1" applyFill="1" applyBorder="1"/>
    <xf numFmtId="0" fontId="24" fillId="19" borderId="1" xfId="0" applyFont="1" applyFill="1" applyBorder="1" applyAlignment="1">
      <alignment horizontal="center"/>
    </xf>
    <xf numFmtId="0" fontId="26" fillId="21" borderId="14" xfId="0" applyFont="1" applyFill="1" applyBorder="1"/>
    <xf numFmtId="0" fontId="26" fillId="21" borderId="15" xfId="0" applyFont="1" applyFill="1" applyBorder="1"/>
    <xf numFmtId="0" fontId="27" fillId="0" borderId="0" xfId="0" applyFont="1"/>
    <xf numFmtId="0" fontId="28" fillId="0" borderId="0" xfId="0" applyFont="1"/>
    <xf numFmtId="0" fontId="29" fillId="22" borderId="14" xfId="0" applyFont="1" applyFill="1" applyBorder="1"/>
    <xf numFmtId="0" fontId="30" fillId="0" borderId="16" xfId="0" applyFont="1" applyBorder="1"/>
    <xf numFmtId="0" fontId="30" fillId="0" borderId="17" xfId="0" applyFont="1" applyBorder="1"/>
    <xf numFmtId="0" fontId="29" fillId="22" borderId="16" xfId="0" applyFont="1" applyFill="1" applyBorder="1"/>
    <xf numFmtId="0" fontId="30" fillId="23" borderId="16" xfId="0" applyFont="1" applyFill="1" applyBorder="1"/>
    <xf numFmtId="0" fontId="30" fillId="23" borderId="17" xfId="0" applyFont="1" applyFill="1" applyBorder="1"/>
    <xf numFmtId="0" fontId="28" fillId="0" borderId="16" xfId="0" applyFont="1" applyBorder="1"/>
    <xf numFmtId="0" fontId="27" fillId="0" borderId="17" xfId="0" applyFont="1" applyBorder="1"/>
    <xf numFmtId="0" fontId="28" fillId="0" borderId="17" xfId="0" applyFont="1" applyBorder="1"/>
    <xf numFmtId="0" fontId="31" fillId="0" borderId="0" xfId="0" applyFont="1"/>
    <xf numFmtId="0" fontId="3" fillId="19" borderId="13" xfId="0" applyFont="1" applyFill="1" applyBorder="1"/>
    <xf numFmtId="0" fontId="3" fillId="19" borderId="13" xfId="0" applyFont="1" applyFill="1" applyBorder="1" applyAlignment="1">
      <alignment horizontal="center"/>
    </xf>
    <xf numFmtId="165" fontId="0" fillId="0" borderId="13" xfId="0" applyNumberFormat="1" applyBorder="1"/>
    <xf numFmtId="0" fontId="3" fillId="0" borderId="13" xfId="0" applyFont="1" applyBorder="1"/>
    <xf numFmtId="165" fontId="3" fillId="0" borderId="13" xfId="0" applyNumberFormat="1" applyFont="1" applyBorder="1"/>
    <xf numFmtId="0" fontId="0" fillId="0" borderId="18" xfId="0" applyBorder="1"/>
    <xf numFmtId="165" fontId="0" fillId="0" borderId="18" xfId="0" applyNumberFormat="1" applyBorder="1"/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4" borderId="0" xfId="0" applyFill="1"/>
    <xf numFmtId="0" fontId="25" fillId="24" borderId="1" xfId="0" applyFont="1" applyFill="1" applyBorder="1"/>
    <xf numFmtId="0" fontId="0" fillId="0" borderId="0" xfId="0" quotePrefix="1"/>
    <xf numFmtId="0" fontId="0" fillId="5" borderId="0" xfId="0" applyFill="1"/>
    <xf numFmtId="0" fontId="25" fillId="0" borderId="0" xfId="0" applyFont="1"/>
    <xf numFmtId="0" fontId="25" fillId="0" borderId="1" xfId="0" applyFont="1" applyBorder="1" applyAlignment="1">
      <alignment horizontal="center"/>
    </xf>
    <xf numFmtId="165" fontId="25" fillId="2" borderId="1" xfId="0" applyNumberFormat="1" applyFont="1" applyFill="1" applyBorder="1"/>
    <xf numFmtId="0" fontId="24" fillId="0" borderId="1" xfId="0" applyFont="1" applyBorder="1"/>
    <xf numFmtId="165" fontId="24" fillId="0" borderId="1" xfId="0" applyNumberFormat="1" applyFont="1" applyBorder="1"/>
    <xf numFmtId="0" fontId="25" fillId="7" borderId="1" xfId="0" applyFont="1" applyFill="1" applyBorder="1"/>
    <xf numFmtId="0" fontId="25" fillId="7" borderId="1" xfId="0" applyFont="1" applyFill="1" applyBorder="1" applyAlignment="1">
      <alignment horizontal="center"/>
    </xf>
    <xf numFmtId="0" fontId="24" fillId="7" borderId="1" xfId="0" applyFont="1" applyFill="1" applyBorder="1"/>
    <xf numFmtId="165" fontId="25" fillId="7" borderId="1" xfId="0" applyNumberFormat="1" applyFont="1" applyFill="1" applyBorder="1"/>
    <xf numFmtId="165" fontId="24" fillId="7" borderId="1" xfId="0" applyNumberFormat="1" applyFont="1" applyFill="1" applyBorder="1"/>
    <xf numFmtId="0" fontId="32" fillId="0" borderId="0" xfId="0" applyFont="1"/>
    <xf numFmtId="0" fontId="24" fillId="19" borderId="1" xfId="0" applyFont="1" applyFill="1" applyBorder="1"/>
    <xf numFmtId="0" fontId="33" fillId="0" borderId="0" xfId="0" applyFont="1"/>
    <xf numFmtId="0" fontId="34" fillId="0" borderId="0" xfId="0" applyFont="1"/>
    <xf numFmtId="0" fontId="35" fillId="25" borderId="0" xfId="0" applyFont="1" applyFill="1" applyAlignment="1">
      <alignment horizontal="left"/>
    </xf>
    <xf numFmtId="0" fontId="35" fillId="25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36" fillId="0" borderId="0" xfId="0" applyNumberFormat="1" applyFont="1"/>
    <xf numFmtId="165" fontId="36" fillId="26" borderId="0" xfId="0" applyNumberFormat="1" applyFont="1" applyFill="1"/>
    <xf numFmtId="165" fontId="37" fillId="26" borderId="0" xfId="0" applyNumberFormat="1" applyFont="1" applyFill="1"/>
    <xf numFmtId="0" fontId="38" fillId="19" borderId="0" xfId="0" applyFont="1" applyFill="1"/>
    <xf numFmtId="165" fontId="38" fillId="19" borderId="0" xfId="0" applyNumberFormat="1" applyFont="1" applyFill="1"/>
    <xf numFmtId="0" fontId="38" fillId="19" borderId="13" xfId="0" applyFont="1" applyFill="1" applyBorder="1"/>
    <xf numFmtId="166" fontId="0" fillId="0" borderId="13" xfId="0" applyNumberFormat="1" applyBorder="1"/>
    <xf numFmtId="0" fontId="38" fillId="27" borderId="13" xfId="0" applyFont="1" applyFill="1" applyBorder="1"/>
    <xf numFmtId="165" fontId="38" fillId="27" borderId="13" xfId="0" applyNumberFormat="1" applyFont="1" applyFill="1" applyBorder="1"/>
    <xf numFmtId="0" fontId="39" fillId="25" borderId="0" xfId="0" applyFont="1" applyFill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D0A689-2F7D-4818-8841-82CFF2E1490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dbc4f98-17cf-4395-88b3-fa70ced5738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eferservice.metro.de/shop/pv/BTY-X262261/0032/0021/Edna-FF-Brezel-mit-Salzbestreuung-tiefgefroren-fertig-gebacken-60-St&#252;ck-&#224;-100-g-6-kg-Packung" TargetMode="External"/><Relationship Id="rId13" Type="http://schemas.openxmlformats.org/officeDocument/2006/relationships/hyperlink" Target="https://lieferservice.metro.de/shop/pv/BTY-X205718/0032/0021/nutella-Nutella-Nuss-Nougat-Creme-750-g-Tiegel" TargetMode="External"/><Relationship Id="rId18" Type="http://schemas.openxmlformats.org/officeDocument/2006/relationships/hyperlink" Target="https://lieferservice.metro.de/shop/pv/BTY-X25588/0032/0021/Andechser-Natur-Bio-Vollmilch-l&#228;nger-frisch-3-8-Fett-1-l-Packung" TargetMode="External"/><Relationship Id="rId3" Type="http://schemas.openxmlformats.org/officeDocument/2006/relationships/hyperlink" Target="https://lieferservice.metro.de/shop/pv/BTY-X375651/0032/0021/METRO-Chef-Mandeln-ganz-blanchiert-1-kg-Beutel" TargetMode="External"/><Relationship Id="rId21" Type="http://schemas.openxmlformats.org/officeDocument/2006/relationships/hyperlink" Target="https://lieferservice.metro.de/shop/pv/BTY-X85456/0032/0021/Schwarzwaldmilch-LAC-lactosefrei-Joghurt-mild-3-5-Fett-400-g-Becher" TargetMode="External"/><Relationship Id="rId7" Type="http://schemas.openxmlformats.org/officeDocument/2006/relationships/hyperlink" Target="https://lieferservice.metro.de/shop/pv/BTY-X442778/0032/0021/aro-Haferflocken-zart-500-g-Packung" TargetMode="External"/><Relationship Id="rId12" Type="http://schemas.openxmlformats.org/officeDocument/2006/relationships/hyperlink" Target="https://lieferservice.metro.de/shop/pv/BTY-X282429/0032/0021/aro-Markenbutter-82-Fett-250-g-Packung" TargetMode="External"/><Relationship Id="rId17" Type="http://schemas.openxmlformats.org/officeDocument/2006/relationships/hyperlink" Target="https://lieferservice.metro.de/shop/pv/BTY-X469913/0032/0022/Brinker-Brinkchen-XXL-tiefgefroren-35-St%C3%BCck-%C3%A0-80-g-halbgebacken-2-x-2-8-kg-Beutel" TargetMode="External"/><Relationship Id="rId2" Type="http://schemas.openxmlformats.org/officeDocument/2006/relationships/hyperlink" Target="https://lieferservice.metro.de/shop/pv/BTY-X322800/0032/0022/METRO-Chef-Studentenfutter-mit-Cranberries-4-x-1-kg-Karton" TargetMode="External"/><Relationship Id="rId16" Type="http://schemas.openxmlformats.org/officeDocument/2006/relationships/hyperlink" Target="https://lieferservice.metro.de/shop/pv/BTY-X186978/0032/0021/Edna-Roggenvollkornbrot-tiefgefroren-fertig-gebacken-geschnitten-10-St%C3%BCck-%C3%A0-1-kg-10-kg-Karton" TargetMode="External"/><Relationship Id="rId20" Type="http://schemas.openxmlformats.org/officeDocument/2006/relationships/hyperlink" Target="https://lieferservice.metro.de/shop/pv/BTY-X6385/0032/0021/alpro-Natur-Joghurt-Alternative-vegan-gek&#252;hlt-400-g-Becher" TargetMode="External"/><Relationship Id="rId1" Type="http://schemas.openxmlformats.org/officeDocument/2006/relationships/hyperlink" Target="https://lieferservice.metro.de/shop/pv/BTY-Z107/0032/0021/Orangen-3kg" TargetMode="External"/><Relationship Id="rId6" Type="http://schemas.openxmlformats.org/officeDocument/2006/relationships/hyperlink" Target="https://lieferservice.metro.de/shop/pv/BTY-X347043/0032/0021/METRO-Chef-Nuss-Mix-ger&#246;stet-gesalzen-1-kg-Beutel" TargetMode="External"/><Relationship Id="rId11" Type="http://schemas.openxmlformats.org/officeDocument/2006/relationships/hyperlink" Target="https://lieferservice.metro.de/shop/pv/BTY-X380816/0032/0021/Popp-Hummus-traditionell-gek&#252;hlt-1-kg-Becher" TargetMode="External"/><Relationship Id="rId5" Type="http://schemas.openxmlformats.org/officeDocument/2006/relationships/hyperlink" Target="https://lieferservice.metro.de/shop/pv/BTY-X381708/0032/0021/METRO-Chef-Walnusskerne-500-g-Beutel" TargetMode="External"/><Relationship Id="rId15" Type="http://schemas.openxmlformats.org/officeDocument/2006/relationships/hyperlink" Target="https://lieferservice.metro.de/shop/pv/BTY-X131267/0032/0021/Aroy-D-Kokosnussmilch-1-00-kg-Faltschachtel" TargetMode="External"/><Relationship Id="rId23" Type="http://schemas.openxmlformats.org/officeDocument/2006/relationships/hyperlink" Target="https://lieferservice.metro.de/shop/pv/BTY-X60854/0036/0021/Weidegl%C3%BCck-Fruchtjoghurt-mild-Bircher-M%C3%BCsli-1-00-kg-Becher" TargetMode="External"/><Relationship Id="rId10" Type="http://schemas.openxmlformats.org/officeDocument/2006/relationships/hyperlink" Target="https://lieferservice.metro.de/shop/pv/BTY-X401360/0032/0022/" TargetMode="External"/><Relationship Id="rId19" Type="http://schemas.openxmlformats.org/officeDocument/2006/relationships/hyperlink" Target="https://lieferservice.metro.de/shop/pv/BTY-X390655/0032/0021/Berief-Bio-Hafer-Drink-Barista-1-l" TargetMode="External"/><Relationship Id="rId4" Type="http://schemas.openxmlformats.org/officeDocument/2006/relationships/hyperlink" Target="https://lieferservice.metro.de/shop/pv/BTY-X343236/0032/0021/METRO-Chef-Cashewkerne-Gesalzen-Ger&#246;stet-1-x-1-kg-Packung" TargetMode="External"/><Relationship Id="rId9" Type="http://schemas.openxmlformats.org/officeDocument/2006/relationships/hyperlink" Target="https://lieferservice.metro.de/shop/pv/BTY-X8194/0032/0021/METRO-Chef-Butter-Croissant-tiefgefroren-20-St&#252;ck-&#224;-60-g-1-2-kg-Packung" TargetMode="External"/><Relationship Id="rId14" Type="http://schemas.openxmlformats.org/officeDocument/2006/relationships/hyperlink" Target="https://lieferservice.metro.de/shop/pv/BTY-X376351/0032/0021" TargetMode="External"/><Relationship Id="rId22" Type="http://schemas.openxmlformats.org/officeDocument/2006/relationships/hyperlink" Target="https://lieferservice.metro.de/shop/pv/BTY-X620452/0032/0023/Andechser-Natur-Bio-Joghurt-mild-3-8-Fett-10-x-150-g-Beche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ieferservice.metro.de/shop/pv/BTY-Z1185/0032/0021" TargetMode="External"/><Relationship Id="rId7" Type="http://schemas.openxmlformats.org/officeDocument/2006/relationships/hyperlink" Target="https://lieferservice.metro.de/shop/pv/BTY-X303706/0032/0022" TargetMode="External"/><Relationship Id="rId2" Type="http://schemas.openxmlformats.org/officeDocument/2006/relationships/hyperlink" Target="https://lieferservice.metro.de/shop/pv/BTY-Z2178/0032/0021" TargetMode="External"/><Relationship Id="rId1" Type="http://schemas.openxmlformats.org/officeDocument/2006/relationships/hyperlink" Target="https://lieferservice.metro.de/shop/pv/BTY-Z1100/0032/0021" TargetMode="External"/><Relationship Id="rId6" Type="http://schemas.openxmlformats.org/officeDocument/2006/relationships/hyperlink" Target="https://lieferservice.metro.de/shop/pv/BTY-X25588/0032/0021" TargetMode="External"/><Relationship Id="rId5" Type="http://schemas.openxmlformats.org/officeDocument/2006/relationships/hyperlink" Target="https://lieferservice.metro.de/shop/pv/BTY-Z2299/0032/0021" TargetMode="External"/><Relationship Id="rId4" Type="http://schemas.openxmlformats.org/officeDocument/2006/relationships/hyperlink" Target="https://lieferservice.metro.de/shop/pv/BTY-X416644/0032/002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lieferservice.metro.de/shop/pv/BTY-Z1185/0032/0021" TargetMode="External"/><Relationship Id="rId7" Type="http://schemas.openxmlformats.org/officeDocument/2006/relationships/hyperlink" Target="https://lieferservice.metro.de/shop/pv/BTY-X303706/0032/0022" TargetMode="External"/><Relationship Id="rId2" Type="http://schemas.openxmlformats.org/officeDocument/2006/relationships/hyperlink" Target="https://lieferservice.metro.de/shop/pv/BTY-Z2178/0032/0021" TargetMode="External"/><Relationship Id="rId1" Type="http://schemas.openxmlformats.org/officeDocument/2006/relationships/hyperlink" Target="https://lieferservice.metro.de/shop/pv/BTY-Z1100/0032/0021" TargetMode="External"/><Relationship Id="rId6" Type="http://schemas.openxmlformats.org/officeDocument/2006/relationships/hyperlink" Target="https://lieferservice.metro.de/shop/pv/BTY-X25588/0032/0021" TargetMode="External"/><Relationship Id="rId5" Type="http://schemas.openxmlformats.org/officeDocument/2006/relationships/hyperlink" Target="https://lieferservice.metro.de/shop/pv/BTY-Z2299/0032/0021" TargetMode="External"/><Relationship Id="rId4" Type="http://schemas.openxmlformats.org/officeDocument/2006/relationships/hyperlink" Target="https://lieferservice.metro.de/shop/pv/BTY-X416644/0032/0022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opLeftCell="A84" workbookViewId="0">
      <selection activeCell="G21" sqref="G21"/>
    </sheetView>
  </sheetViews>
  <sheetFormatPr defaultRowHeight="15"/>
  <cols>
    <col min="1" max="1" width="59.140625" customWidth="1"/>
    <col min="2" max="3" width="12.7109375" customWidth="1"/>
    <col min="4" max="4" width="15.42578125" customWidth="1"/>
    <col min="5" max="7" width="12.7109375" customWidth="1"/>
    <col min="8" max="8" width="17.28515625" customWidth="1"/>
    <col min="9" max="9" width="14" customWidth="1"/>
    <col min="10" max="10" width="164.85546875" customWidth="1"/>
  </cols>
  <sheetData>
    <row r="1" spans="1:18" ht="31.5">
      <c r="A1" s="1"/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18" ht="24">
      <c r="A2" s="2" t="s">
        <v>5</v>
      </c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 t="s">
        <v>6</v>
      </c>
      <c r="B3" s="6">
        <f>1.68*36</f>
        <v>60.48</v>
      </c>
      <c r="C3" s="3" t="s">
        <v>7</v>
      </c>
      <c r="D3" s="6" cm="1">
        <f t="array" ref="D3">B3 / VALUE(INDEX(_xlfn.TEXTSPLIT(A3, " "), COLUMNS(_xlfn.TEXTSPLIT(A3, " ")) - 1))</f>
        <v>1.68</v>
      </c>
      <c r="E3" s="6">
        <v>36</v>
      </c>
      <c r="F3" s="6">
        <f>E3*D3</f>
        <v>60.48</v>
      </c>
      <c r="G3" s="6">
        <f>E3/8</f>
        <v>4.5</v>
      </c>
      <c r="H3" s="3" t="s">
        <v>8</v>
      </c>
      <c r="I3" s="3"/>
      <c r="J3" s="4"/>
      <c r="K3" s="4"/>
      <c r="L3" s="4"/>
      <c r="M3" s="4"/>
      <c r="N3" s="4"/>
      <c r="O3" s="4"/>
      <c r="P3" s="4"/>
      <c r="Q3" s="4"/>
      <c r="R3" s="4"/>
    </row>
    <row r="4" spans="1:18">
      <c r="A4" s="5" t="s">
        <v>9</v>
      </c>
      <c r="B4" s="6">
        <f>1.09*36</f>
        <v>39.24</v>
      </c>
      <c r="C4" s="3" t="s">
        <v>7</v>
      </c>
      <c r="D4" s="6" cm="1">
        <f t="array" ref="D4">B4 / VALUE(INDEX(_xlfn.TEXTSPLIT(A4, " "), COLUMNS(_xlfn.TEXTSPLIT(A4, " ")) - 1))</f>
        <v>1.0900000000000001</v>
      </c>
      <c r="E4" s="6" cm="1">
        <f t="array" ref="E4">VALUE(INDEX(_xlfn.TEXTSPLIT(TRIM(A3), " "), COLUMNS(_xlfn.TEXTSPLIT(TRIM(A3), " ")) - 1))</f>
        <v>36</v>
      </c>
      <c r="F4" s="6">
        <f t="shared" ref="F4:F45" si="0">E4*D4</f>
        <v>39.24</v>
      </c>
      <c r="G4" s="6">
        <f t="shared" ref="G4:G31" si="1">E4/8</f>
        <v>4.5</v>
      </c>
      <c r="H4" s="3" t="s">
        <v>8</v>
      </c>
      <c r="I4" s="3"/>
      <c r="J4" s="4"/>
      <c r="K4" s="4"/>
      <c r="L4" s="4"/>
      <c r="M4" s="4"/>
      <c r="N4" s="4"/>
      <c r="O4" s="4"/>
      <c r="P4" s="4"/>
      <c r="Q4" s="4"/>
      <c r="R4" s="4"/>
    </row>
    <row r="5" spans="1:18">
      <c r="A5" s="5" t="s">
        <v>10</v>
      </c>
      <c r="B5" s="6">
        <f>4.82*8</f>
        <v>38.56</v>
      </c>
      <c r="C5" s="3" t="s">
        <v>7</v>
      </c>
      <c r="D5" s="6" cm="1">
        <f t="array" ref="D5">B5 / VALUE(INDEX(_xlfn.TEXTSPLIT(A5, " "), COLUMNS(_xlfn.TEXTSPLIT(A5, " ")) - 1))</f>
        <v>4.82</v>
      </c>
      <c r="E5" s="6" cm="1">
        <f t="array" ref="E5">VALUE(INDEX(_xlfn.TEXTSPLIT(TRIM(A4), " "), COLUMNS(_xlfn.TEXTSPLIT(TRIM(A4), " ")) - 1))</f>
        <v>36</v>
      </c>
      <c r="F5" s="6">
        <f t="shared" si="0"/>
        <v>173.52</v>
      </c>
      <c r="G5" s="6">
        <f t="shared" si="1"/>
        <v>4.5</v>
      </c>
      <c r="H5" s="3" t="s">
        <v>8</v>
      </c>
      <c r="I5" s="3"/>
      <c r="J5" s="4"/>
      <c r="K5" s="4"/>
      <c r="L5" s="4"/>
      <c r="M5" s="4"/>
      <c r="N5" s="4"/>
      <c r="O5" s="4"/>
      <c r="P5" s="4"/>
      <c r="Q5" s="4"/>
      <c r="R5" s="4"/>
    </row>
    <row r="6" spans="1:18">
      <c r="A6" s="5" t="s">
        <v>11</v>
      </c>
      <c r="B6" s="6">
        <f>28.88*6</f>
        <v>173.28</v>
      </c>
      <c r="C6" s="3" t="s">
        <v>7</v>
      </c>
      <c r="D6" s="6" cm="1">
        <f t="array" ref="D6">B6 / VALUE(INDEX(_xlfn.TEXTSPLIT(A6, " "), COLUMNS(_xlfn.TEXTSPLIT(A6, " ")) - 1))</f>
        <v>28.88</v>
      </c>
      <c r="E6" s="6" cm="1">
        <f t="array" ref="E6">VALUE(INDEX(_xlfn.TEXTSPLIT(TRIM(A5), " "), COLUMNS(_xlfn.TEXTSPLIT(TRIM(A5), " ")) - 1))</f>
        <v>8</v>
      </c>
      <c r="F6" s="6">
        <f t="shared" si="0"/>
        <v>231.04</v>
      </c>
      <c r="G6" s="6">
        <f t="shared" si="1"/>
        <v>1</v>
      </c>
      <c r="H6" s="3" t="s">
        <v>8</v>
      </c>
      <c r="I6" s="3"/>
      <c r="J6" s="4"/>
      <c r="K6" s="4"/>
      <c r="L6" s="4"/>
      <c r="M6" s="4"/>
      <c r="N6" s="4"/>
      <c r="O6" s="4"/>
      <c r="P6" s="4"/>
      <c r="Q6" s="4"/>
      <c r="R6" s="4"/>
    </row>
    <row r="7" spans="1:18" ht="19.5">
      <c r="A7" s="10" t="s">
        <v>12</v>
      </c>
      <c r="B7" s="6">
        <v>23.7</v>
      </c>
      <c r="C7" s="3" t="s">
        <v>7</v>
      </c>
      <c r="D7" s="6">
        <f>B7/16</f>
        <v>1.48125</v>
      </c>
      <c r="E7" s="6" cm="1">
        <f t="array" ref="E7">VALUE(INDEX(_xlfn.TEXTSPLIT(TRIM(A6), " "), COLUMNS(_xlfn.TEXTSPLIT(TRIM(A6), " ")) - 1))</f>
        <v>6</v>
      </c>
      <c r="F7" s="6">
        <f t="shared" si="0"/>
        <v>8.8874999999999993</v>
      </c>
      <c r="G7" s="6">
        <f t="shared" si="1"/>
        <v>0.75</v>
      </c>
      <c r="H7" s="3" t="s">
        <v>13</v>
      </c>
      <c r="I7" s="7" t="s">
        <v>14</v>
      </c>
      <c r="J7" s="8" t="s">
        <v>15</v>
      </c>
      <c r="K7" s="4"/>
      <c r="L7" s="4"/>
      <c r="M7" s="4"/>
      <c r="N7" s="4"/>
      <c r="O7" s="4"/>
      <c r="P7" s="4"/>
      <c r="Q7" s="4"/>
      <c r="R7" s="4"/>
    </row>
    <row r="8" spans="1:18" ht="24">
      <c r="A8" s="2" t="s">
        <v>16</v>
      </c>
      <c r="B8" s="6"/>
      <c r="C8" s="6"/>
      <c r="D8" s="6"/>
      <c r="E8" s="6"/>
      <c r="F8" s="6"/>
      <c r="G8" s="6"/>
      <c r="H8" s="3"/>
      <c r="I8" s="3"/>
      <c r="J8" s="4"/>
      <c r="K8" s="4"/>
      <c r="L8" s="4"/>
      <c r="M8" s="4"/>
      <c r="N8" s="4"/>
      <c r="O8" s="4"/>
      <c r="P8" s="4"/>
      <c r="Q8" s="4"/>
      <c r="R8" s="4"/>
    </row>
    <row r="9" spans="1:18" ht="19.5">
      <c r="A9" s="5" t="s">
        <v>17</v>
      </c>
      <c r="B9" s="6">
        <v>112.35</v>
      </c>
      <c r="C9" s="6"/>
      <c r="D9" s="6" cm="1">
        <f t="array" ref="D9">B9 / VALUE(INDEX(_xlfn.TEXTSPLIT(A9, " "), COLUMNS(_xlfn.TEXTSPLIT(A9, " ")) - 1))</f>
        <v>9.3624999999999989</v>
      </c>
      <c r="E9" s="6">
        <v>12</v>
      </c>
      <c r="F9" s="6">
        <f t="shared" si="0"/>
        <v>112.35</v>
      </c>
      <c r="G9" s="6">
        <f t="shared" si="1"/>
        <v>1.5</v>
      </c>
      <c r="H9" s="3" t="s">
        <v>13</v>
      </c>
      <c r="I9" s="7">
        <v>9383</v>
      </c>
      <c r="J9" s="8" t="s">
        <v>18</v>
      </c>
      <c r="K9" s="4"/>
      <c r="L9" s="4"/>
      <c r="M9" s="4"/>
      <c r="N9" s="4"/>
      <c r="O9" s="4"/>
      <c r="P9" s="4"/>
      <c r="Q9" s="4"/>
      <c r="R9" s="4"/>
    </row>
    <row r="10" spans="1:18">
      <c r="A10" s="5" t="s">
        <v>19</v>
      </c>
      <c r="B10" s="6">
        <v>79.260000000000005</v>
      </c>
      <c r="C10" s="6"/>
      <c r="D10" s="6" cm="1">
        <f t="array" ref="D10">B10 / VALUE(INDEX(_xlfn.TEXTSPLIT(A10, " "), COLUMNS(_xlfn.TEXTSPLIT(A10, " ")) - 1))</f>
        <v>13.21</v>
      </c>
      <c r="E10" s="6" cm="1">
        <f t="array" ref="E10">VALUE(INDEX(_xlfn.TEXTSPLIT(TRIM(A9), " "), COLUMNS(_xlfn.TEXTSPLIT(TRIM(A9), " ")) - 1))</f>
        <v>12</v>
      </c>
      <c r="F10" s="6">
        <f t="shared" si="0"/>
        <v>158.52000000000001</v>
      </c>
      <c r="G10" s="6">
        <f t="shared" si="1"/>
        <v>1.5</v>
      </c>
      <c r="H10" s="3" t="s">
        <v>13</v>
      </c>
      <c r="I10" s="3">
        <v>216546</v>
      </c>
      <c r="J10" s="8" t="s">
        <v>20</v>
      </c>
      <c r="K10" s="4"/>
      <c r="L10" s="4"/>
      <c r="M10" s="4"/>
      <c r="N10" s="4"/>
      <c r="O10" s="4"/>
      <c r="P10" s="4"/>
      <c r="Q10" s="4"/>
      <c r="R10" s="4"/>
    </row>
    <row r="11" spans="1:18">
      <c r="A11" s="5" t="s">
        <v>21</v>
      </c>
      <c r="B11" s="6">
        <v>62.5</v>
      </c>
      <c r="C11" s="6"/>
      <c r="D11" s="6" cm="1">
        <f t="array" ref="D11">B11 / VALUE(INDEX(_xlfn.TEXTSPLIT(A11, " "), COLUMNS(_xlfn.TEXTSPLIT(A11, " ")) - 1))</f>
        <v>12.5</v>
      </c>
      <c r="E11" s="6" cm="1">
        <f t="array" ref="E11">VALUE(INDEX(_xlfn.TEXTSPLIT(TRIM(A10), " "), COLUMNS(_xlfn.TEXTSPLIT(TRIM(A10), " ")) - 1))</f>
        <v>6</v>
      </c>
      <c r="F11" s="6">
        <f t="shared" si="0"/>
        <v>75</v>
      </c>
      <c r="G11" s="6">
        <f t="shared" si="1"/>
        <v>0.75</v>
      </c>
      <c r="H11" s="3" t="s">
        <v>13</v>
      </c>
      <c r="I11" s="3">
        <v>965341</v>
      </c>
      <c r="J11" s="8" t="s">
        <v>22</v>
      </c>
      <c r="K11" s="4"/>
      <c r="L11" s="4"/>
      <c r="M11" s="4"/>
      <c r="N11" s="4"/>
      <c r="O11" s="4"/>
      <c r="P11" s="4"/>
      <c r="Q11" s="4"/>
      <c r="R11" s="4"/>
    </row>
    <row r="12" spans="1:18">
      <c r="A12" s="5" t="s">
        <v>23</v>
      </c>
      <c r="B12" s="6">
        <v>70.319999999999993</v>
      </c>
      <c r="C12" s="6"/>
      <c r="D12" s="6" cm="1">
        <f t="array" ref="D12">B12 / VALUE(INDEX(_xlfn.TEXTSPLIT(A12, " "), COLUMNS(_xlfn.TEXTSPLIT(A12, " ")) - 1))</f>
        <v>17.579999999999998</v>
      </c>
      <c r="E12" s="6" cm="1">
        <f t="array" ref="E12">VALUE(INDEX(_xlfn.TEXTSPLIT(TRIM(A11), " "), COLUMNS(_xlfn.TEXTSPLIT(TRIM(A11), " ")) - 1))</f>
        <v>5</v>
      </c>
      <c r="F12" s="6">
        <f t="shared" si="0"/>
        <v>87.899999999999991</v>
      </c>
      <c r="G12" s="6">
        <f t="shared" si="1"/>
        <v>0.625</v>
      </c>
      <c r="H12" s="3" t="s">
        <v>13</v>
      </c>
      <c r="I12" s="3">
        <v>19986</v>
      </c>
      <c r="J12" s="8" t="s">
        <v>24</v>
      </c>
      <c r="K12" s="4"/>
      <c r="L12" s="4"/>
      <c r="M12" s="4"/>
      <c r="N12" s="4"/>
      <c r="O12" s="4"/>
      <c r="P12" s="4"/>
      <c r="Q12" s="4"/>
      <c r="R12" s="4"/>
    </row>
    <row r="13" spans="1:18">
      <c r="A13" s="5" t="s">
        <v>25</v>
      </c>
      <c r="B13" s="6" t="s">
        <v>26</v>
      </c>
      <c r="C13" s="6"/>
      <c r="D13" s="6">
        <v>10</v>
      </c>
      <c r="E13" s="6" cm="1">
        <f t="array" ref="E13">VALUE(INDEX(_xlfn.TEXTSPLIT(TRIM(A12), " "), COLUMNS(_xlfn.TEXTSPLIT(TRIM(A12), " ")) - 1))</f>
        <v>4</v>
      </c>
      <c r="F13" s="6">
        <f t="shared" si="0"/>
        <v>40</v>
      </c>
      <c r="G13" s="6">
        <f t="shared" si="1"/>
        <v>0.5</v>
      </c>
      <c r="H13" s="3" t="s">
        <v>13</v>
      </c>
      <c r="I13" s="3"/>
      <c r="J13" s="4" t="s">
        <v>27</v>
      </c>
      <c r="K13" s="4"/>
      <c r="L13" s="4"/>
      <c r="M13" s="4"/>
      <c r="N13" s="4"/>
      <c r="O13" s="4"/>
      <c r="P13" s="4"/>
      <c r="Q13" s="4"/>
      <c r="R13" s="4"/>
    </row>
    <row r="14" spans="1:18">
      <c r="A14" s="5" t="s">
        <v>28</v>
      </c>
      <c r="B14" s="6">
        <v>61.32</v>
      </c>
      <c r="C14" s="6"/>
      <c r="D14" s="6" cm="1">
        <f t="array" ref="D14">B14 / VALUE(INDEX(_xlfn.TEXTSPLIT(A14, " "), COLUMNS(_xlfn.TEXTSPLIT(A14, " ")) - 1))</f>
        <v>10.220000000000001</v>
      </c>
      <c r="E14" s="6" cm="1">
        <f t="array" ref="E14">VALUE(INDEX(_xlfn.TEXTSPLIT(TRIM(A13), " "), COLUMNS(_xlfn.TEXTSPLIT(TRIM(A13), " ")) - 1))</f>
        <v>8</v>
      </c>
      <c r="F14" s="6">
        <f t="shared" si="0"/>
        <v>81.760000000000005</v>
      </c>
      <c r="G14" s="6">
        <f t="shared" si="1"/>
        <v>1</v>
      </c>
      <c r="H14" s="3" t="s">
        <v>13</v>
      </c>
      <c r="I14" s="3">
        <v>970296</v>
      </c>
      <c r="J14" s="8" t="s">
        <v>29</v>
      </c>
      <c r="K14" s="4"/>
      <c r="L14" s="4"/>
      <c r="M14" s="4"/>
      <c r="N14" s="4"/>
      <c r="O14" s="4"/>
      <c r="P14" s="4"/>
      <c r="Q14" s="4"/>
      <c r="R14" s="4"/>
    </row>
    <row r="15" spans="1:18" ht="24">
      <c r="A15" s="2" t="s">
        <v>30</v>
      </c>
      <c r="B15" s="6"/>
      <c r="C15" s="6"/>
      <c r="D15" s="6"/>
      <c r="E15" s="6"/>
      <c r="F15" s="6"/>
      <c r="G15" s="6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10" t="s">
        <v>31</v>
      </c>
      <c r="B16" s="6" t="s">
        <v>32</v>
      </c>
      <c r="C16" s="6"/>
      <c r="D16" s="6" t="str">
        <f>B16</f>
        <v>2.852 €</v>
      </c>
      <c r="E16" s="6">
        <v>12</v>
      </c>
      <c r="F16" s="6">
        <f t="shared" si="0"/>
        <v>34.223999999999997</v>
      </c>
      <c r="G16" s="6">
        <f t="shared" si="1"/>
        <v>1.5</v>
      </c>
      <c r="H16" s="3" t="s">
        <v>33</v>
      </c>
      <c r="I16" s="3">
        <v>176939</v>
      </c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5" t="s">
        <v>34</v>
      </c>
      <c r="B17" s="6">
        <v>19.5</v>
      </c>
      <c r="C17" s="6"/>
      <c r="D17" s="6" cm="1">
        <f t="array" ref="D17">B17 / VALUE(INDEX(_xlfn.TEXTSPLIT(A17, " "), COLUMNS(_xlfn.TEXTSPLIT(A17, " ")) - 1))</f>
        <v>1.3</v>
      </c>
      <c r="E17" s="6" cm="1">
        <f t="array" ref="E17">VALUE(INDEX(_xlfn.TEXTSPLIT(TRIM(A16), " "), COLUMNS(_xlfn.TEXTSPLIT(TRIM(A16), " ")) - 1))</f>
        <v>12</v>
      </c>
      <c r="F17" s="6">
        <f t="shared" si="0"/>
        <v>15.600000000000001</v>
      </c>
      <c r="G17" s="6">
        <f t="shared" si="1"/>
        <v>1.5</v>
      </c>
      <c r="H17" s="3" t="s">
        <v>13</v>
      </c>
      <c r="I17" s="3">
        <v>277977</v>
      </c>
      <c r="J17" s="8" t="s">
        <v>35</v>
      </c>
      <c r="K17" s="4"/>
      <c r="L17" s="4"/>
      <c r="M17" s="4"/>
      <c r="N17" s="4"/>
      <c r="O17" s="4"/>
      <c r="P17" s="4"/>
      <c r="Q17" s="4"/>
      <c r="R17" s="4"/>
    </row>
    <row r="18" spans="1:18">
      <c r="A18" s="9" t="s">
        <v>36</v>
      </c>
      <c r="B18" s="6" t="s">
        <v>37</v>
      </c>
      <c r="C18" s="6"/>
      <c r="D18" s="6">
        <v>3</v>
      </c>
      <c r="E18" s="6" cm="1">
        <f t="array" ref="E18">VALUE(INDEX(_xlfn.TEXTSPLIT(TRIM(A17), " "), COLUMNS(_xlfn.TEXTSPLIT(TRIM(A17), " ")) - 1))</f>
        <v>15</v>
      </c>
      <c r="F18" s="6">
        <f t="shared" si="0"/>
        <v>45</v>
      </c>
      <c r="G18" s="6">
        <f t="shared" si="1"/>
        <v>1.875</v>
      </c>
      <c r="H18" s="3" t="s">
        <v>13</v>
      </c>
      <c r="I18" s="3">
        <v>818334</v>
      </c>
      <c r="J18" s="8" t="s">
        <v>38</v>
      </c>
      <c r="K18" s="4"/>
      <c r="L18" s="4"/>
      <c r="M18" s="4"/>
      <c r="N18" s="4"/>
      <c r="O18" s="4"/>
      <c r="P18" s="4"/>
      <c r="Q18" s="4"/>
      <c r="R18" s="4"/>
    </row>
    <row r="19" spans="1:18" ht="24">
      <c r="A19" s="2" t="s">
        <v>39</v>
      </c>
      <c r="B19" s="6"/>
      <c r="C19" s="6"/>
      <c r="D19" s="6"/>
      <c r="E19" s="6"/>
      <c r="F19" s="6"/>
      <c r="G19" s="6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10" t="s">
        <v>40</v>
      </c>
      <c r="B20" s="6">
        <v>49.8</v>
      </c>
      <c r="C20" s="6"/>
      <c r="D20" s="6" cm="1">
        <f t="array" ref="D20">B20 / VALUE(INDEX(_xlfn.TEXTSPLIT(A20, " "), COLUMNS(_xlfn.TEXTSPLIT(A20, " ")) - 1))</f>
        <v>1.2449999999999999</v>
      </c>
      <c r="E20" s="6">
        <v>40</v>
      </c>
      <c r="F20" s="6">
        <f t="shared" si="0"/>
        <v>49.8</v>
      </c>
      <c r="G20" s="6">
        <f t="shared" si="1"/>
        <v>5</v>
      </c>
      <c r="H20" s="3" t="s">
        <v>13</v>
      </c>
      <c r="I20" s="3">
        <v>781800</v>
      </c>
      <c r="J20" s="8" t="s">
        <v>41</v>
      </c>
      <c r="K20" s="4"/>
      <c r="L20" s="4"/>
      <c r="M20" s="4"/>
      <c r="N20" s="4"/>
      <c r="O20" s="4"/>
      <c r="P20" s="4"/>
      <c r="Q20" s="4"/>
      <c r="R20" s="4"/>
    </row>
    <row r="21" spans="1:18">
      <c r="A21" s="10" t="s">
        <v>42</v>
      </c>
      <c r="B21" s="6">
        <v>30</v>
      </c>
      <c r="C21" s="6"/>
      <c r="D21" s="6" cm="1">
        <f t="array" ref="D21">B21 / VALUE(INDEX(_xlfn.TEXTSPLIT(A21, " "), COLUMNS(_xlfn.TEXTSPLIT(A21, " ")) - 1))</f>
        <v>0.2</v>
      </c>
      <c r="E21" s="6" cm="1">
        <f t="array" ref="E21">VALUE(INDEX(_xlfn.TEXTSPLIT(TRIM(A20), " "), COLUMNS(_xlfn.TEXTSPLIT(TRIM(A20), " ")) - 1))</f>
        <v>40</v>
      </c>
      <c r="F21" s="6">
        <f t="shared" si="0"/>
        <v>8</v>
      </c>
      <c r="G21" s="6">
        <f t="shared" si="1"/>
        <v>5</v>
      </c>
      <c r="H21" s="3" t="s">
        <v>13</v>
      </c>
      <c r="I21" s="3">
        <v>701739</v>
      </c>
      <c r="J21" s="8" t="s">
        <v>43</v>
      </c>
      <c r="K21" s="4"/>
      <c r="L21" s="4"/>
      <c r="M21" s="4"/>
      <c r="N21" s="4"/>
      <c r="O21" s="4"/>
      <c r="P21" s="4"/>
      <c r="Q21" s="4"/>
      <c r="R21" s="4"/>
    </row>
    <row r="22" spans="1:18">
      <c r="A22" s="5" t="s">
        <v>44</v>
      </c>
      <c r="B22" s="6">
        <v>50.96</v>
      </c>
      <c r="C22" s="6"/>
      <c r="D22" s="6" cm="1">
        <f t="array" ref="D22">B22 / VALUE(INDEX(_xlfn.TEXTSPLIT(A22, " "), COLUMNS(_xlfn.TEXTSPLIT(A22, " ")) - 1))</f>
        <v>0.63700000000000001</v>
      </c>
      <c r="E22" s="6" cm="1">
        <f t="array" ref="E22">VALUE(INDEX(_xlfn.TEXTSPLIT(TRIM(A21), " "), COLUMNS(_xlfn.TEXTSPLIT(TRIM(A21), " ")) - 1))</f>
        <v>150</v>
      </c>
      <c r="F22" s="6">
        <f t="shared" si="0"/>
        <v>95.55</v>
      </c>
      <c r="G22" s="6">
        <f t="shared" si="1"/>
        <v>18.75</v>
      </c>
      <c r="H22" s="3" t="s">
        <v>13</v>
      </c>
      <c r="I22" s="3">
        <v>638952</v>
      </c>
      <c r="J22" s="8" t="s">
        <v>45</v>
      </c>
      <c r="K22" s="4"/>
      <c r="L22" s="4"/>
      <c r="M22" s="4"/>
      <c r="N22" s="4"/>
      <c r="O22" s="4"/>
      <c r="P22" s="4"/>
      <c r="Q22" s="4"/>
      <c r="R22" s="4"/>
    </row>
    <row r="23" spans="1:18">
      <c r="A23" s="5" t="s">
        <v>46</v>
      </c>
      <c r="B23" s="6">
        <v>23.97</v>
      </c>
      <c r="C23" s="6"/>
      <c r="D23" s="6" cm="1">
        <f t="array" ref="D23">B23 / VALUE(INDEX(_xlfn.TEXTSPLIT(A23, " "), COLUMNS(_xlfn.TEXTSPLIT(A23, " ")) - 1))</f>
        <v>0.39949999999999997</v>
      </c>
      <c r="E23" s="6" cm="1">
        <f t="array" ref="E23">VALUE(INDEX(_xlfn.TEXTSPLIT(TRIM(A22), " "), COLUMNS(_xlfn.TEXTSPLIT(TRIM(A22), " ")) - 1))</f>
        <v>80</v>
      </c>
      <c r="F23" s="6">
        <f t="shared" si="0"/>
        <v>31.959999999999997</v>
      </c>
      <c r="G23" s="6">
        <f t="shared" si="1"/>
        <v>10</v>
      </c>
      <c r="H23" s="3" t="s">
        <v>13</v>
      </c>
      <c r="I23" s="3">
        <v>156159</v>
      </c>
      <c r="J23" s="8" t="s">
        <v>47</v>
      </c>
      <c r="K23" s="4"/>
      <c r="L23" s="4"/>
      <c r="M23" s="4"/>
      <c r="N23" s="4"/>
      <c r="O23" s="4"/>
      <c r="P23" s="4"/>
      <c r="Q23" s="4"/>
      <c r="R23" s="4"/>
    </row>
    <row r="24" spans="1:18" ht="24">
      <c r="A24" s="2" t="s">
        <v>48</v>
      </c>
      <c r="B24" s="6"/>
      <c r="C24" s="6"/>
      <c r="D24" s="6"/>
      <c r="E24" s="6"/>
      <c r="F24" s="6"/>
      <c r="G24" s="6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5" t="s">
        <v>49</v>
      </c>
      <c r="B25" s="6">
        <v>66.56</v>
      </c>
      <c r="C25" s="6"/>
      <c r="D25" s="6" cm="1">
        <f t="array" ref="D25">B25 / VALUE(INDEX(_xlfn.TEXTSPLIT(A25, " "), COLUMNS(_xlfn.TEXTSPLIT(A25, " ")) - 1))</f>
        <v>8.32</v>
      </c>
      <c r="E25" s="6">
        <v>8</v>
      </c>
      <c r="F25" s="6">
        <f t="shared" si="0"/>
        <v>66.56</v>
      </c>
      <c r="G25" s="6">
        <f t="shared" si="1"/>
        <v>1</v>
      </c>
      <c r="H25" s="3" t="s">
        <v>50</v>
      </c>
      <c r="I25" s="3">
        <v>569638</v>
      </c>
      <c r="J25" s="8" t="s">
        <v>51</v>
      </c>
      <c r="K25" s="4"/>
      <c r="L25" s="4"/>
      <c r="M25" s="4"/>
      <c r="N25" s="4"/>
      <c r="O25" s="4"/>
      <c r="P25" s="4"/>
      <c r="Q25" s="4"/>
      <c r="R25" s="4"/>
    </row>
    <row r="26" spans="1:18">
      <c r="A26" s="5" t="s">
        <v>52</v>
      </c>
      <c r="B26" s="6">
        <v>46.74</v>
      </c>
      <c r="C26" s="6"/>
      <c r="D26" s="6" cm="1">
        <f t="array" ref="D26">B26 / VALUE(INDEX(_xlfn.TEXTSPLIT(A26, " "), COLUMNS(_xlfn.TEXTSPLIT(A26, " ")) - 1))</f>
        <v>7.79</v>
      </c>
      <c r="E26" s="6" cm="1">
        <f t="array" ref="E26">VALUE(INDEX(_xlfn.TEXTSPLIT(TRIM(A25), " "), COLUMNS(_xlfn.TEXTSPLIT(TRIM(A25), " ")) - 1))</f>
        <v>8</v>
      </c>
      <c r="F26" s="6">
        <f t="shared" si="0"/>
        <v>62.32</v>
      </c>
      <c r="G26" s="6">
        <f t="shared" si="1"/>
        <v>1</v>
      </c>
      <c r="H26" s="3" t="s">
        <v>13</v>
      </c>
      <c r="I26" s="3">
        <v>28</v>
      </c>
      <c r="J26" s="8" t="s">
        <v>53</v>
      </c>
      <c r="K26" s="4"/>
      <c r="L26" s="4"/>
      <c r="M26" s="4"/>
      <c r="N26" s="4"/>
      <c r="O26" s="4"/>
      <c r="P26" s="4"/>
      <c r="Q26" s="4"/>
      <c r="R26" s="4"/>
    </row>
    <row r="27" spans="1:18">
      <c r="A27" s="5" t="s">
        <v>54</v>
      </c>
      <c r="B27" s="6">
        <v>38.159999999999997</v>
      </c>
      <c r="C27" s="6"/>
      <c r="D27" s="6" cm="1">
        <f t="array" ref="D27">B27 / VALUE(INDEX(_xlfn.TEXTSPLIT(A27, " "), COLUMNS(_xlfn.TEXTSPLIT(A27, " ")) - 1))</f>
        <v>6.3599999999999994</v>
      </c>
      <c r="E27" s="6" cm="1">
        <f t="array" ref="E27">VALUE(INDEX(_xlfn.TEXTSPLIT(TRIM(A26), " "), COLUMNS(_xlfn.TEXTSPLIT(TRIM(A26), " ")) - 1))</f>
        <v>6</v>
      </c>
      <c r="F27" s="6">
        <f t="shared" si="0"/>
        <v>38.159999999999997</v>
      </c>
      <c r="G27" s="6">
        <f t="shared" si="1"/>
        <v>0.75</v>
      </c>
      <c r="H27" s="3" t="s">
        <v>13</v>
      </c>
      <c r="I27" s="3">
        <v>897997</v>
      </c>
      <c r="J27" s="8" t="s">
        <v>55</v>
      </c>
      <c r="K27" s="4"/>
      <c r="L27" s="4"/>
      <c r="M27" s="4"/>
      <c r="N27" s="4"/>
      <c r="O27" s="4"/>
      <c r="P27" s="4"/>
      <c r="Q27" s="4"/>
      <c r="R27" s="4"/>
    </row>
    <row r="28" spans="1:18">
      <c r="A28" s="5" t="s">
        <v>56</v>
      </c>
      <c r="B28" s="6">
        <v>34.86</v>
      </c>
      <c r="C28" s="6"/>
      <c r="D28" s="6" cm="1">
        <f t="array" ref="D28">B28 / VALUE(INDEX(_xlfn.TEXTSPLIT(A28, " "), COLUMNS(_xlfn.TEXTSPLIT(A28, " ")) - 1))</f>
        <v>6.9719999999999995</v>
      </c>
      <c r="E28" s="6" cm="1">
        <f t="array" ref="E28">VALUE(INDEX(_xlfn.TEXTSPLIT(TRIM(A27), " "), COLUMNS(_xlfn.TEXTSPLIT(TRIM(A27), " ")) - 1))</f>
        <v>6</v>
      </c>
      <c r="F28" s="6">
        <f t="shared" si="0"/>
        <v>41.831999999999994</v>
      </c>
      <c r="G28" s="6">
        <f t="shared" si="1"/>
        <v>0.75</v>
      </c>
      <c r="H28" s="3" t="s">
        <v>13</v>
      </c>
      <c r="I28" s="3">
        <v>799877</v>
      </c>
      <c r="J28" s="8" t="s">
        <v>57</v>
      </c>
      <c r="K28" s="4"/>
      <c r="L28" s="4"/>
      <c r="M28" s="4"/>
      <c r="N28" s="4"/>
      <c r="O28" s="4"/>
      <c r="P28" s="4"/>
      <c r="Q28" s="4"/>
      <c r="R28" s="4"/>
    </row>
    <row r="29" spans="1:18">
      <c r="A29" s="5" t="s">
        <v>58</v>
      </c>
      <c r="B29" s="6">
        <v>36.42</v>
      </c>
      <c r="C29" s="6"/>
      <c r="D29" s="6" cm="1">
        <f t="array" ref="D29">B29 / VALUE(INDEX(_xlfn.TEXTSPLIT(A29, " "), COLUMNS(_xlfn.TEXTSPLIT(A29, " ")) - 1))</f>
        <v>7.2840000000000007</v>
      </c>
      <c r="E29" s="6" cm="1">
        <f t="array" ref="E29">VALUE(INDEX(_xlfn.TEXTSPLIT(TRIM(A28), " "), COLUMNS(_xlfn.TEXTSPLIT(TRIM(A28), " ")) - 1))</f>
        <v>5</v>
      </c>
      <c r="F29" s="6">
        <f t="shared" si="0"/>
        <v>36.42</v>
      </c>
      <c r="G29" s="6">
        <f t="shared" si="1"/>
        <v>0.625</v>
      </c>
      <c r="H29" s="3" t="s">
        <v>50</v>
      </c>
      <c r="I29" s="3">
        <v>223568</v>
      </c>
      <c r="J29" s="8" t="s">
        <v>59</v>
      </c>
      <c r="K29" s="4"/>
      <c r="L29" s="4"/>
      <c r="M29" s="4"/>
      <c r="N29" s="4"/>
      <c r="O29" s="4"/>
      <c r="P29" s="4"/>
      <c r="Q29" s="4"/>
      <c r="R29" s="4"/>
    </row>
    <row r="30" spans="1:18" ht="24">
      <c r="A30" s="2" t="s">
        <v>60</v>
      </c>
      <c r="B30" s="6"/>
      <c r="C30" s="6"/>
      <c r="D30" s="6"/>
      <c r="E30" s="6"/>
      <c r="F30" s="6"/>
      <c r="G30" s="6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10" t="s">
        <v>61</v>
      </c>
      <c r="B31" s="6">
        <v>1.2</v>
      </c>
      <c r="C31" s="6"/>
      <c r="D31" s="6">
        <v>1.2</v>
      </c>
      <c r="E31" s="6">
        <v>250</v>
      </c>
      <c r="F31" s="6">
        <f t="shared" si="0"/>
        <v>300</v>
      </c>
      <c r="G31" s="6">
        <f t="shared" si="1"/>
        <v>31.25</v>
      </c>
      <c r="H31" s="3" t="s">
        <v>62</v>
      </c>
      <c r="I31" s="3"/>
      <c r="J31" s="4" t="s">
        <v>63</v>
      </c>
      <c r="K31" s="4"/>
      <c r="L31" s="4"/>
      <c r="M31" s="4"/>
      <c r="N31" s="4"/>
      <c r="O31" s="4"/>
      <c r="P31" s="4"/>
      <c r="Q31" s="4"/>
      <c r="R31" s="4"/>
    </row>
    <row r="32" spans="1:18">
      <c r="A32" s="10" t="s">
        <v>64</v>
      </c>
      <c r="B32" s="6"/>
      <c r="C32" s="6"/>
      <c r="D32" s="14" cm="1">
        <f t="array" ref="D32">B32 / VALUE(INDEX(_xlfn.TEXTSPLIT(A32, " "), COLUMNS(_xlfn.TEXTSPLIT(A32, " ")) - 1))</f>
        <v>0</v>
      </c>
      <c r="E32" s="6" cm="1">
        <f t="array" ref="E32">VALUE(INDEX(_xlfn.TEXTSPLIT(TRIM(A31), " "), COLUMNS(_xlfn.TEXTSPLIT(TRIM(A31), " ")) - 1))</f>
        <v>250</v>
      </c>
      <c r="F32" s="6">
        <f t="shared" si="0"/>
        <v>0</v>
      </c>
      <c r="G32" s="6"/>
      <c r="H32" s="3"/>
      <c r="I32" s="3"/>
      <c r="J32" s="11" t="s">
        <v>65</v>
      </c>
      <c r="K32" s="4"/>
      <c r="L32" s="4"/>
      <c r="M32" s="4"/>
      <c r="N32" s="4"/>
      <c r="O32" s="4"/>
      <c r="P32" s="4"/>
      <c r="Q32" s="4"/>
      <c r="R32" s="4"/>
    </row>
    <row r="33" spans="1:18">
      <c r="A33" s="10" t="s">
        <v>66</v>
      </c>
      <c r="B33" s="6"/>
      <c r="C33" s="6"/>
      <c r="D33" s="14" cm="1">
        <f t="array" ref="D33">B33 / VALUE(INDEX(_xlfn.TEXTSPLIT(A33, " "), COLUMNS(_xlfn.TEXTSPLIT(A33, " ")) - 1))</f>
        <v>0</v>
      </c>
      <c r="E33" s="6" cm="1">
        <f t="array" ref="E33">VALUE(INDEX(_xlfn.TEXTSPLIT(TRIM(A32), " "), COLUMNS(_xlfn.TEXTSPLIT(TRIM(A32), " ")) - 1))</f>
        <v>120</v>
      </c>
      <c r="F33" s="6">
        <f t="shared" si="0"/>
        <v>0</v>
      </c>
      <c r="G33" s="6"/>
      <c r="H33" s="3"/>
      <c r="I33" s="3"/>
      <c r="J33" s="11" t="s">
        <v>65</v>
      </c>
      <c r="K33" s="4"/>
      <c r="L33" s="4"/>
      <c r="M33" s="4"/>
      <c r="N33" s="4"/>
      <c r="O33" s="4"/>
      <c r="P33" s="4"/>
      <c r="Q33" s="4"/>
      <c r="R33" s="4"/>
    </row>
    <row r="34" spans="1:18">
      <c r="A34" s="10" t="s">
        <v>67</v>
      </c>
      <c r="B34" s="6" t="s">
        <v>68</v>
      </c>
      <c r="C34" s="6"/>
      <c r="D34" s="14"/>
      <c r="E34" s="6" cm="1">
        <f t="array" ref="E34">VALUE(INDEX(_xlfn.TEXTSPLIT(TRIM(A33), " "), COLUMNS(_xlfn.TEXTSPLIT(TRIM(A33), " ")) - 1))</f>
        <v>120</v>
      </c>
      <c r="F34" s="6">
        <f t="shared" si="0"/>
        <v>0</v>
      </c>
      <c r="G34" s="6"/>
      <c r="H34" s="3" t="s">
        <v>13</v>
      </c>
      <c r="I34" s="3">
        <v>745328</v>
      </c>
      <c r="J34" s="8"/>
      <c r="K34" s="4"/>
      <c r="L34" s="4"/>
      <c r="M34" s="4"/>
      <c r="N34" s="4"/>
      <c r="O34" s="4"/>
      <c r="P34" s="4"/>
      <c r="Q34" s="4"/>
      <c r="R34" s="4"/>
    </row>
    <row r="35" spans="1:18">
      <c r="A35" s="10" t="s">
        <v>69</v>
      </c>
      <c r="B35" s="6" t="s">
        <v>70</v>
      </c>
      <c r="C35" s="6"/>
      <c r="D35" s="14"/>
      <c r="E35" s="6" cm="1">
        <f t="array" ref="E35">VALUE(INDEX(_xlfn.TEXTSPLIT(TRIM(A34), " "), COLUMNS(_xlfn.TEXTSPLIT(TRIM(A34), " ")) - 1))</f>
        <v>200</v>
      </c>
      <c r="F35" s="6">
        <f t="shared" si="0"/>
        <v>0</v>
      </c>
      <c r="G35" s="6"/>
      <c r="H35" s="3" t="s">
        <v>13</v>
      </c>
      <c r="I35" s="3"/>
      <c r="J35" s="4" t="s">
        <v>71</v>
      </c>
      <c r="K35" s="4"/>
      <c r="L35" s="4"/>
      <c r="M35" s="4"/>
      <c r="N35" s="4"/>
      <c r="O35" s="4"/>
      <c r="P35" s="4"/>
      <c r="Q35" s="4"/>
      <c r="R35" s="4"/>
    </row>
    <row r="36" spans="1:18" ht="29.25">
      <c r="A36" s="10" t="s">
        <v>72</v>
      </c>
      <c r="B36" s="12" t="s">
        <v>73</v>
      </c>
      <c r="C36" s="12"/>
      <c r="D36" s="15"/>
      <c r="E36" s="12" cm="1">
        <f t="array" ref="E36">VALUE(INDEX(_xlfn.TEXTSPLIT(TRIM(A35), " "), COLUMNS(_xlfn.TEXTSPLIT(TRIM(A35), " ")) - 1))</f>
        <v>150</v>
      </c>
      <c r="F36" s="6">
        <f t="shared" si="0"/>
        <v>0</v>
      </c>
      <c r="G36" s="6"/>
      <c r="H36" s="3" t="s">
        <v>33</v>
      </c>
      <c r="I36" s="13" t="s">
        <v>74</v>
      </c>
      <c r="J36" s="4"/>
      <c r="K36" s="4"/>
      <c r="L36" s="4"/>
      <c r="M36" s="4"/>
      <c r="N36" s="4"/>
      <c r="O36" s="4"/>
      <c r="P36" s="4"/>
      <c r="Q36" s="4"/>
      <c r="R36" s="4"/>
    </row>
    <row r="37" spans="1:18" ht="24">
      <c r="A37" s="2" t="s">
        <v>75</v>
      </c>
      <c r="B37" s="6"/>
      <c r="C37" s="6"/>
      <c r="D37" s="6"/>
      <c r="E37" s="6" cm="1">
        <f t="array" ref="E37">VALUE(INDEX(_xlfn.TEXTSPLIT(TRIM(A36), " "), COLUMNS(_xlfn.TEXTSPLIT(TRIM(A36), " ")) - 1))</f>
        <v>100</v>
      </c>
      <c r="F37" s="6">
        <f t="shared" si="0"/>
        <v>0</v>
      </c>
      <c r="G37" s="6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</row>
    <row r="38" spans="1:18">
      <c r="A38" s="5" t="s">
        <v>76</v>
      </c>
      <c r="B38" s="6">
        <v>71.28</v>
      </c>
      <c r="C38" s="6"/>
      <c r="D38" s="6" cm="1">
        <f t="array" ref="D38">B38 / VALUE(INDEX(_xlfn.TEXTSPLIT(A38, " "), COLUMNS(_xlfn.TEXTSPLIT(A38, " ")) - 1))</f>
        <v>0.59399999999999997</v>
      </c>
      <c r="E38" s="6">
        <v>120</v>
      </c>
      <c r="F38" s="6">
        <f t="shared" si="0"/>
        <v>71.28</v>
      </c>
      <c r="G38" s="6">
        <f t="shared" ref="G38:G40" si="2">E38/8</f>
        <v>15</v>
      </c>
      <c r="H38" s="3" t="s">
        <v>77</v>
      </c>
      <c r="I38" s="3">
        <v>745082</v>
      </c>
      <c r="J38" s="8" t="s">
        <v>78</v>
      </c>
      <c r="K38" s="4"/>
      <c r="L38" s="4"/>
      <c r="M38" s="4"/>
      <c r="N38" s="4"/>
      <c r="O38" s="4"/>
      <c r="P38" s="4"/>
      <c r="Q38" s="4"/>
      <c r="R38" s="4"/>
    </row>
    <row r="39" spans="1:18">
      <c r="A39" s="5" t="s">
        <v>79</v>
      </c>
      <c r="B39" s="6">
        <v>97.2</v>
      </c>
      <c r="C39" s="6"/>
      <c r="D39" s="6" cm="1">
        <f t="array" ref="D39">B39 / VALUE(INDEX(_xlfn.TEXTSPLIT(A39, " "), COLUMNS(_xlfn.TEXTSPLIT(A39, " ")) - 1))</f>
        <v>1.62</v>
      </c>
      <c r="E39" s="6" cm="1">
        <f t="array" ref="E39">VALUE(INDEX(_xlfn.TEXTSPLIT(TRIM(A38), " "), COLUMNS(_xlfn.TEXTSPLIT(TRIM(A38), " ")) - 1))</f>
        <v>120</v>
      </c>
      <c r="F39" s="6">
        <f t="shared" si="0"/>
        <v>194.4</v>
      </c>
      <c r="G39" s="6">
        <f t="shared" si="2"/>
        <v>15</v>
      </c>
      <c r="H39" s="3" t="s">
        <v>80</v>
      </c>
      <c r="I39" s="3">
        <v>533727</v>
      </c>
      <c r="J39" s="8" t="s">
        <v>81</v>
      </c>
      <c r="K39" s="4"/>
      <c r="L39" s="4"/>
      <c r="M39" s="4"/>
      <c r="N39" s="4"/>
      <c r="O39" s="4"/>
      <c r="P39" s="4"/>
      <c r="Q39" s="4"/>
      <c r="R39" s="4"/>
    </row>
    <row r="40" spans="1:18">
      <c r="A40" s="5" t="s">
        <v>82</v>
      </c>
      <c r="B40" s="6">
        <v>254.4</v>
      </c>
      <c r="C40" s="6"/>
      <c r="D40" s="6">
        <v>2.12</v>
      </c>
      <c r="E40" s="6" cm="1">
        <f t="array" ref="E40">VALUE(INDEX(_xlfn.TEXTSPLIT(TRIM(A39), " "), COLUMNS(_xlfn.TEXTSPLIT(TRIM(A39), " ")) - 1))</f>
        <v>60</v>
      </c>
      <c r="F40" s="6">
        <f t="shared" si="0"/>
        <v>127.2</v>
      </c>
      <c r="G40" s="6">
        <f t="shared" si="2"/>
        <v>7.5</v>
      </c>
      <c r="H40" s="3" t="s">
        <v>80</v>
      </c>
      <c r="I40" s="3">
        <v>431311</v>
      </c>
      <c r="J40" s="8" t="s">
        <v>83</v>
      </c>
      <c r="K40" s="4"/>
      <c r="L40" s="4"/>
      <c r="M40" s="4"/>
      <c r="N40" s="4"/>
      <c r="O40" s="4"/>
      <c r="P40" s="4"/>
      <c r="Q40" s="4"/>
      <c r="R40" s="4"/>
    </row>
    <row r="41" spans="1:18" ht="24">
      <c r="A41" s="2" t="s">
        <v>84</v>
      </c>
      <c r="B41" s="6"/>
      <c r="C41" s="6"/>
      <c r="D41" s="6"/>
      <c r="E41" s="6" cm="1">
        <f t="array" ref="E41">VALUE(INDEX(_xlfn.TEXTSPLIT(TRIM(A40), " "), COLUMNS(_xlfn.TEXTSPLIT(TRIM(A40), " ")) - 1))</f>
        <v>60</v>
      </c>
      <c r="F41" s="6">
        <f t="shared" si="0"/>
        <v>0</v>
      </c>
      <c r="G41" s="6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</row>
    <row r="42" spans="1:18">
      <c r="A42" s="5" t="s">
        <v>85</v>
      </c>
      <c r="B42" s="6">
        <v>118.8</v>
      </c>
      <c r="C42" s="6"/>
      <c r="D42" s="6" cm="1">
        <f t="array" ref="D42">B42 / VALUE(INDEX(_xlfn.TEXTSPLIT(A42, " "), COLUMNS(_xlfn.TEXTSPLIT(A42, " ")) - 1))</f>
        <v>1.98</v>
      </c>
      <c r="E42" s="6">
        <v>60</v>
      </c>
      <c r="F42" s="6">
        <f t="shared" si="0"/>
        <v>118.8</v>
      </c>
      <c r="G42" s="6">
        <f t="shared" ref="G42:G44" si="3">E42/8</f>
        <v>7.5</v>
      </c>
      <c r="H42" s="3" t="s">
        <v>13</v>
      </c>
      <c r="I42" s="3">
        <v>286913</v>
      </c>
      <c r="J42" s="8" t="s">
        <v>86</v>
      </c>
      <c r="K42" s="4"/>
      <c r="L42" s="4"/>
      <c r="M42" s="4"/>
      <c r="N42" s="4"/>
      <c r="O42" s="4"/>
      <c r="P42" s="4"/>
      <c r="Q42" s="4"/>
      <c r="R42" s="4"/>
    </row>
    <row r="43" spans="1:18">
      <c r="A43" s="5" t="s">
        <v>87</v>
      </c>
      <c r="B43" s="6">
        <v>149.6</v>
      </c>
      <c r="C43" s="6"/>
      <c r="D43" s="6" cm="1">
        <f t="array" ref="D43">B43 / VALUE(INDEX(_xlfn.TEXTSPLIT(A43, " "), COLUMNS(_xlfn.TEXTSPLIT(A43, " ")) - 1))</f>
        <v>1.8699999999999999</v>
      </c>
      <c r="E43" s="6" cm="1">
        <f t="array" ref="E43">VALUE(INDEX(_xlfn.TEXTSPLIT(TRIM(A42), " "), COLUMNS(_xlfn.TEXTSPLIT(TRIM(A42), " ")) - 1))</f>
        <v>60</v>
      </c>
      <c r="F43" s="6">
        <f t="shared" si="0"/>
        <v>112.19999999999999</v>
      </c>
      <c r="G43" s="6">
        <f t="shared" si="3"/>
        <v>7.5</v>
      </c>
      <c r="H43" s="3" t="s">
        <v>13</v>
      </c>
      <c r="I43" s="3">
        <v>429568</v>
      </c>
      <c r="J43" s="8" t="s">
        <v>88</v>
      </c>
      <c r="K43" s="4"/>
      <c r="L43" s="4"/>
      <c r="M43" s="4"/>
      <c r="N43" s="4"/>
      <c r="O43" s="4"/>
      <c r="P43" s="4"/>
      <c r="Q43" s="4"/>
      <c r="R43" s="4"/>
    </row>
    <row r="44" spans="1:18">
      <c r="A44" s="5" t="s">
        <v>89</v>
      </c>
      <c r="B44" s="6">
        <v>203.6</v>
      </c>
      <c r="C44" s="6"/>
      <c r="D44" s="6" cm="1">
        <f t="array" ref="D44">B44 / VALUE(INDEX(_xlfn.TEXTSPLIT(A44, " "), COLUMNS(_xlfn.TEXTSPLIT(A44, " ")) - 1))</f>
        <v>5.09</v>
      </c>
      <c r="E44" s="6" cm="1">
        <f t="array" ref="E44">VALUE(INDEX(_xlfn.TEXTSPLIT(TRIM(A43), " "), COLUMNS(_xlfn.TEXTSPLIT(TRIM(A43), " ")) - 1))</f>
        <v>80</v>
      </c>
      <c r="F44" s="6">
        <f t="shared" si="0"/>
        <v>407.2</v>
      </c>
      <c r="G44" s="6">
        <f t="shared" si="3"/>
        <v>10</v>
      </c>
      <c r="H44" s="3" t="s">
        <v>13</v>
      </c>
      <c r="I44" s="3">
        <v>79934</v>
      </c>
      <c r="J44" s="8" t="s">
        <v>90</v>
      </c>
      <c r="K44" s="4"/>
      <c r="L44" s="4"/>
      <c r="M44" s="4"/>
      <c r="N44" s="4"/>
      <c r="O44" s="4"/>
      <c r="P44" s="4"/>
      <c r="Q44" s="4"/>
      <c r="R44" s="4"/>
    </row>
    <row r="45" spans="1:18">
      <c r="A45" s="10" t="s">
        <v>91</v>
      </c>
      <c r="B45" s="4"/>
      <c r="C45" s="4"/>
      <c r="D45" s="16"/>
      <c r="E45" s="4"/>
      <c r="F45" s="6">
        <f t="shared" si="0"/>
        <v>0</v>
      </c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>
      <c r="F46">
        <f>SUM(F2:F45)</f>
        <v>2925.2034999999992</v>
      </c>
    </row>
    <row r="52" spans="1:8">
      <c r="A52" s="10" t="s">
        <v>61</v>
      </c>
      <c r="B52" s="4">
        <v>31.25</v>
      </c>
      <c r="C52" s="4"/>
      <c r="D52" s="4"/>
      <c r="E52" s="4"/>
      <c r="F52" s="4"/>
      <c r="G52" s="4"/>
      <c r="H52" s="4"/>
    </row>
    <row r="53" spans="1:8">
      <c r="A53" s="5" t="s">
        <v>25</v>
      </c>
      <c r="B53" s="16">
        <v>0.5</v>
      </c>
      <c r="C53" s="4"/>
      <c r="D53" s="4"/>
      <c r="E53" s="4"/>
      <c r="F53" s="4"/>
      <c r="G53" s="4"/>
      <c r="H53" s="4"/>
    </row>
    <row r="54" spans="1:8">
      <c r="A54" s="5" t="s">
        <v>17</v>
      </c>
      <c r="B54" s="16">
        <v>1.5</v>
      </c>
      <c r="C54" s="4"/>
      <c r="D54" s="4"/>
      <c r="E54" s="4"/>
      <c r="F54" s="4"/>
      <c r="G54" s="4"/>
      <c r="H54" s="4"/>
    </row>
    <row r="55" spans="1:8">
      <c r="A55" s="5" t="s">
        <v>19</v>
      </c>
      <c r="B55" s="16">
        <v>1.5</v>
      </c>
      <c r="C55" s="4"/>
      <c r="D55" s="4"/>
      <c r="E55" s="4"/>
      <c r="F55" s="4"/>
      <c r="G55" s="4"/>
      <c r="H55" s="4"/>
    </row>
    <row r="56" spans="1:8">
      <c r="A56" s="10" t="s">
        <v>31</v>
      </c>
      <c r="B56" s="4">
        <v>1.5</v>
      </c>
      <c r="C56" s="4"/>
      <c r="D56" s="4"/>
      <c r="E56" s="4"/>
      <c r="F56" s="4"/>
      <c r="G56" s="4"/>
      <c r="H56" s="4"/>
    </row>
    <row r="57" spans="1:8">
      <c r="A57" s="5" t="s">
        <v>34</v>
      </c>
      <c r="B57" s="4">
        <v>1.5</v>
      </c>
      <c r="C57" s="4"/>
      <c r="D57" s="4"/>
      <c r="E57" s="4"/>
      <c r="F57" s="4"/>
      <c r="G57" s="4"/>
      <c r="H57" s="4"/>
    </row>
    <row r="58" spans="1:8">
      <c r="A58" s="10" t="s">
        <v>40</v>
      </c>
      <c r="B58" s="4">
        <v>5</v>
      </c>
      <c r="C58" s="4"/>
      <c r="D58" s="4"/>
      <c r="E58" s="4"/>
      <c r="F58" s="4"/>
      <c r="G58" s="4"/>
      <c r="H58" s="4"/>
    </row>
    <row r="59" spans="1:8">
      <c r="A59" s="10" t="s">
        <v>42</v>
      </c>
      <c r="B59" s="4">
        <v>5</v>
      </c>
      <c r="C59" s="4"/>
      <c r="D59" s="4"/>
      <c r="E59" s="4"/>
      <c r="F59" s="4"/>
      <c r="G59" s="4"/>
      <c r="H59" s="4"/>
    </row>
  </sheetData>
  <autoFilter ref="A1:R1" xr:uid="{00000000-0001-0000-0000-000000000000}"/>
  <hyperlinks>
    <hyperlink ref="J7" r:id="rId1" xr:uid="{B207C08C-35F8-4147-A492-22847426919A}"/>
    <hyperlink ref="J9" r:id="rId2" xr:uid="{F4A3BA62-B834-4103-A898-852314EBD6E8}"/>
    <hyperlink ref="J10" r:id="rId3" xr:uid="{D2F78734-188E-4743-9884-EDFE5198C830}"/>
    <hyperlink ref="J11" r:id="rId4" xr:uid="{30106E92-6169-43D7-9F7C-12C5E6322E86}"/>
    <hyperlink ref="J12" r:id="rId5" xr:uid="{98C3038B-EEB2-4B6F-BF8E-D258204C2936}"/>
    <hyperlink ref="J14" r:id="rId6" xr:uid="{46D3DDD4-19EC-431B-85E9-6EC59D5B1113}"/>
    <hyperlink ref="J17" r:id="rId7" xr:uid="{4AF7D529-D92F-438E-896E-6D9C31797898}"/>
    <hyperlink ref="J22" r:id="rId8" xr:uid="{E04471D5-258E-4115-9183-D8749A97B65B}"/>
    <hyperlink ref="J23" r:id="rId9" xr:uid="{D73886B6-4935-4310-B00C-22F547F2DD1A}"/>
    <hyperlink ref="J25" r:id="rId10" xr:uid="{46E3EADF-2750-40AF-878C-2808F95B0717}"/>
    <hyperlink ref="J26" r:id="rId11" xr:uid="{8DEC24F9-47DC-4F75-9789-8BCE3CF0A5BE}"/>
    <hyperlink ref="J27" r:id="rId12" xr:uid="{1B8CFBD0-0337-4818-BB33-40F0F88769C2}"/>
    <hyperlink ref="J28" r:id="rId13" xr:uid="{7658AFC2-F8F4-4AD9-A4E0-E344F8B89C9E}"/>
    <hyperlink ref="J29" r:id="rId14" xr:uid="{566D73ED-9ACA-442A-A125-A6CAA695D17F}"/>
    <hyperlink ref="J44" r:id="rId15" xr:uid="{8AAFEB52-F83E-4853-A58C-3504108D7B25}"/>
    <hyperlink ref="J20" r:id="rId16" xr:uid="{F1FD8293-F557-4712-86CC-A62A2370E468}"/>
    <hyperlink ref="J21" r:id="rId17" xr:uid="{BB5E6329-4999-4A61-9EAF-36F8B017779B}"/>
    <hyperlink ref="J42" r:id="rId18" xr:uid="{603F81DC-1CF7-4BDB-ACE9-8AEC4297A115}"/>
    <hyperlink ref="J43" r:id="rId19" xr:uid="{8DBF98FF-4DEA-4864-92FA-C9D7F75021ED}"/>
    <hyperlink ref="J40" r:id="rId20" xr:uid="{ED18E260-15E6-4425-9300-68AD5FB49CC0}"/>
    <hyperlink ref="J39" r:id="rId21" xr:uid="{3007B509-BF6C-4D98-8A0D-BDA1D4F9456B}"/>
    <hyperlink ref="J38" r:id="rId22" xr:uid="{F2A5BEB9-7DB6-4B5A-B4FF-F67AE8EBA077}"/>
    <hyperlink ref="J18" r:id="rId23" xr:uid="{AE2C1643-8835-4649-8949-71E33F6505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3CE5-282C-48DE-99CF-051FD785BEFE}">
  <dimension ref="A1:O104"/>
  <sheetViews>
    <sheetView topLeftCell="A76" workbookViewId="0">
      <selection activeCell="O106" sqref="O106"/>
    </sheetView>
  </sheetViews>
  <sheetFormatPr defaultRowHeight="15"/>
  <cols>
    <col min="1" max="1" width="25.42578125" customWidth="1"/>
    <col min="2" max="2" width="47.140625" bestFit="1" customWidth="1"/>
  </cols>
  <sheetData>
    <row r="1" spans="1:15" ht="15.75">
      <c r="A1" s="58" t="s">
        <v>92</v>
      </c>
      <c r="B1" s="59" t="s">
        <v>93</v>
      </c>
      <c r="C1" s="60"/>
      <c r="D1" s="58" t="s">
        <v>94</v>
      </c>
      <c r="E1" s="58" t="s">
        <v>95</v>
      </c>
      <c r="F1" s="58" t="s">
        <v>96</v>
      </c>
      <c r="G1" s="58" t="s">
        <v>97</v>
      </c>
      <c r="H1" s="58" t="s">
        <v>98</v>
      </c>
      <c r="I1" s="58" t="s">
        <v>99</v>
      </c>
      <c r="J1" s="58" t="s">
        <v>98</v>
      </c>
      <c r="K1" s="58" t="s">
        <v>100</v>
      </c>
    </row>
    <row r="2" spans="1:15">
      <c r="A2" s="4">
        <v>31477</v>
      </c>
      <c r="B2" s="17" t="s">
        <v>6</v>
      </c>
      <c r="C2" s="16">
        <v>4.5</v>
      </c>
      <c r="D2" s="4">
        <v>5</v>
      </c>
      <c r="E2" s="4" t="s">
        <v>7</v>
      </c>
      <c r="F2" s="4" t="s">
        <v>101</v>
      </c>
      <c r="G2" s="4">
        <v>47</v>
      </c>
      <c r="H2" s="4" t="s">
        <v>102</v>
      </c>
      <c r="I2" s="26">
        <v>1.62</v>
      </c>
      <c r="J2" s="6" t="s">
        <v>7</v>
      </c>
      <c r="K2" s="6"/>
      <c r="N2">
        <f>D2*I2</f>
        <v>8.1000000000000014</v>
      </c>
      <c r="O2">
        <f>N2*1.3</f>
        <v>10.530000000000003</v>
      </c>
    </row>
    <row r="3" spans="1:15">
      <c r="A3" s="4">
        <v>280062</v>
      </c>
      <c r="B3" s="17" t="s">
        <v>9</v>
      </c>
      <c r="C3" s="16">
        <v>4.5</v>
      </c>
      <c r="D3" s="4">
        <v>5</v>
      </c>
      <c r="E3" s="4" t="s">
        <v>7</v>
      </c>
      <c r="F3" s="4" t="s">
        <v>101</v>
      </c>
      <c r="G3" s="4">
        <v>30</v>
      </c>
      <c r="H3" s="4" t="s">
        <v>102</v>
      </c>
      <c r="I3" s="4">
        <v>2.19</v>
      </c>
      <c r="J3" s="4" t="s">
        <v>7</v>
      </c>
      <c r="K3" s="4"/>
      <c r="N3">
        <f t="shared" ref="N3:N5" si="0">D3*I3</f>
        <v>10.95</v>
      </c>
      <c r="O3">
        <f t="shared" ref="O3:O66" si="1">N3*1.3</f>
        <v>14.234999999999999</v>
      </c>
    </row>
    <row r="4" spans="1:15">
      <c r="A4" s="4">
        <v>265730</v>
      </c>
      <c r="B4" s="18" t="s">
        <v>103</v>
      </c>
      <c r="C4" s="16">
        <v>4.5</v>
      </c>
      <c r="D4" s="4">
        <v>3</v>
      </c>
      <c r="E4" s="4" t="s">
        <v>7</v>
      </c>
      <c r="F4" s="4"/>
      <c r="G4" s="4">
        <v>3</v>
      </c>
      <c r="H4" s="4" t="s">
        <v>7</v>
      </c>
      <c r="I4" s="4">
        <v>1.97</v>
      </c>
      <c r="J4" s="4" t="s">
        <v>104</v>
      </c>
      <c r="K4" s="4"/>
      <c r="N4">
        <f t="shared" si="0"/>
        <v>5.91</v>
      </c>
      <c r="O4">
        <f t="shared" si="1"/>
        <v>7.6830000000000007</v>
      </c>
    </row>
    <row r="5" spans="1:15">
      <c r="A5" s="4">
        <v>266071</v>
      </c>
      <c r="B5" s="18" t="s">
        <v>105</v>
      </c>
      <c r="C5" s="16"/>
      <c r="D5" s="4">
        <v>3</v>
      </c>
      <c r="E5" s="4" t="s">
        <v>7</v>
      </c>
      <c r="F5" s="4"/>
      <c r="G5" s="4">
        <v>3</v>
      </c>
      <c r="H5" s="4" t="s">
        <v>7</v>
      </c>
      <c r="I5" s="4">
        <v>1.97</v>
      </c>
      <c r="J5" s="4" t="s">
        <v>104</v>
      </c>
      <c r="K5" s="4"/>
      <c r="N5">
        <f t="shared" si="0"/>
        <v>5.91</v>
      </c>
      <c r="O5">
        <f t="shared" si="1"/>
        <v>7.6830000000000007</v>
      </c>
    </row>
    <row r="6" spans="1:15">
      <c r="A6" s="4">
        <v>2246</v>
      </c>
      <c r="B6" s="18" t="s">
        <v>106</v>
      </c>
      <c r="C6" s="16"/>
      <c r="D6" s="4">
        <v>0.5</v>
      </c>
      <c r="E6" s="4" t="s">
        <v>7</v>
      </c>
      <c r="F6" s="4"/>
      <c r="G6" s="4">
        <v>0.5</v>
      </c>
      <c r="H6" s="4" t="s">
        <v>7</v>
      </c>
      <c r="I6" s="4">
        <v>4.3899999999999997</v>
      </c>
      <c r="J6" s="4" t="s">
        <v>104</v>
      </c>
      <c r="K6" s="4"/>
      <c r="N6">
        <f>D6*I6</f>
        <v>2.1949999999999998</v>
      </c>
      <c r="O6">
        <f t="shared" si="1"/>
        <v>2.8534999999999999</v>
      </c>
    </row>
    <row r="7" spans="1:15">
      <c r="A7" s="4">
        <v>264280</v>
      </c>
      <c r="B7" s="18" t="s">
        <v>107</v>
      </c>
      <c r="C7" s="16"/>
      <c r="D7" s="4">
        <v>1</v>
      </c>
      <c r="E7" s="4" t="s">
        <v>7</v>
      </c>
      <c r="F7" s="4"/>
      <c r="G7" s="4">
        <v>1</v>
      </c>
      <c r="H7" s="4" t="s">
        <v>7</v>
      </c>
      <c r="I7" s="4">
        <v>4.17</v>
      </c>
      <c r="J7" s="4" t="s">
        <v>104</v>
      </c>
      <c r="K7" s="4"/>
      <c r="N7">
        <f t="shared" ref="N7" si="2">D7*I7*2</f>
        <v>8.34</v>
      </c>
      <c r="O7">
        <f t="shared" si="1"/>
        <v>10.842000000000001</v>
      </c>
    </row>
    <row r="8" spans="1:15">
      <c r="A8" s="4"/>
      <c r="B8" s="18"/>
      <c r="C8" s="16"/>
      <c r="D8" s="4"/>
      <c r="E8" s="4"/>
      <c r="F8" s="4"/>
      <c r="G8" s="4"/>
      <c r="H8" s="4"/>
      <c r="I8" s="4"/>
      <c r="J8" s="4"/>
      <c r="K8" s="4"/>
      <c r="O8">
        <f t="shared" si="1"/>
        <v>0</v>
      </c>
    </row>
    <row r="9" spans="1:15">
      <c r="A9" s="4">
        <v>10146</v>
      </c>
      <c r="B9" s="17" t="s">
        <v>108</v>
      </c>
      <c r="C9" s="16">
        <v>1</v>
      </c>
      <c r="D9" s="4">
        <f>0.125*3</f>
        <v>0.375</v>
      </c>
      <c r="E9" s="4" t="s">
        <v>7</v>
      </c>
      <c r="F9" s="4"/>
      <c r="G9" s="4">
        <f>0.125*3</f>
        <v>0.375</v>
      </c>
      <c r="H9" s="4" t="s">
        <v>7</v>
      </c>
      <c r="I9" s="4">
        <v>3.07</v>
      </c>
      <c r="J9" s="4" t="s">
        <v>109</v>
      </c>
      <c r="K9" s="4"/>
      <c r="N9">
        <f>I9*3</f>
        <v>9.2099999999999991</v>
      </c>
      <c r="O9">
        <f t="shared" si="1"/>
        <v>11.972999999999999</v>
      </c>
    </row>
    <row r="10" spans="1:15">
      <c r="A10" s="4">
        <v>211702</v>
      </c>
      <c r="B10" s="18" t="s">
        <v>12</v>
      </c>
      <c r="C10" s="16">
        <v>0.75</v>
      </c>
      <c r="D10" s="4">
        <v>6</v>
      </c>
      <c r="E10" s="4" t="s">
        <v>7</v>
      </c>
      <c r="F10" s="4" t="s">
        <v>101</v>
      </c>
      <c r="G10" s="4">
        <v>24</v>
      </c>
      <c r="H10" s="4" t="s">
        <v>102</v>
      </c>
      <c r="I10" s="4">
        <v>1.57</v>
      </c>
      <c r="J10" s="4" t="s">
        <v>110</v>
      </c>
      <c r="K10" s="4"/>
      <c r="N10">
        <f>D10*I10</f>
        <v>9.42</v>
      </c>
      <c r="O10">
        <f t="shared" si="1"/>
        <v>12.246</v>
      </c>
    </row>
    <row r="11" spans="1:15">
      <c r="A11" s="4">
        <v>970353</v>
      </c>
      <c r="B11" s="5" t="s">
        <v>111</v>
      </c>
      <c r="C11" s="16"/>
      <c r="D11" s="4">
        <v>1</v>
      </c>
      <c r="E11" s="4" t="s">
        <v>7</v>
      </c>
      <c r="F11" s="4" t="s">
        <v>112</v>
      </c>
      <c r="G11" s="4">
        <v>1</v>
      </c>
      <c r="H11" s="4" t="s">
        <v>7</v>
      </c>
      <c r="I11" s="4">
        <v>7.77</v>
      </c>
      <c r="J11" s="4" t="s">
        <v>104</v>
      </c>
      <c r="K11" s="4"/>
      <c r="N11">
        <f>D11*I11*2</f>
        <v>15.54</v>
      </c>
      <c r="O11">
        <f t="shared" si="1"/>
        <v>20.201999999999998</v>
      </c>
    </row>
    <row r="12" spans="1:15">
      <c r="A12" s="4">
        <v>327897</v>
      </c>
      <c r="B12" s="5" t="s">
        <v>113</v>
      </c>
      <c r="C12" s="16"/>
      <c r="D12" s="4">
        <v>1</v>
      </c>
      <c r="E12" s="4" t="s">
        <v>7</v>
      </c>
      <c r="F12" s="4" t="s">
        <v>112</v>
      </c>
      <c r="G12" s="4">
        <v>1</v>
      </c>
      <c r="H12" s="4" t="s">
        <v>7</v>
      </c>
      <c r="I12" s="4">
        <v>9.34</v>
      </c>
      <c r="J12" s="4" t="s">
        <v>7</v>
      </c>
      <c r="K12" s="4"/>
      <c r="N12">
        <f>D12*I12</f>
        <v>9.34</v>
      </c>
      <c r="O12">
        <f t="shared" si="1"/>
        <v>12.141999999999999</v>
      </c>
    </row>
    <row r="13" spans="1:15">
      <c r="A13" s="4">
        <v>965341</v>
      </c>
      <c r="B13" s="5" t="s">
        <v>21</v>
      </c>
      <c r="C13" s="16">
        <v>0.75</v>
      </c>
      <c r="D13" s="4">
        <v>1</v>
      </c>
      <c r="E13" s="4" t="s">
        <v>7</v>
      </c>
      <c r="F13" s="4" t="s">
        <v>112</v>
      </c>
      <c r="G13" s="4">
        <v>1</v>
      </c>
      <c r="H13" s="4" t="s">
        <v>7</v>
      </c>
      <c r="I13" s="4">
        <v>12.5</v>
      </c>
      <c r="J13" s="4" t="s">
        <v>110</v>
      </c>
      <c r="K13" s="4"/>
      <c r="N13">
        <f>D13*I13</f>
        <v>12.5</v>
      </c>
      <c r="O13">
        <f t="shared" si="1"/>
        <v>16.25</v>
      </c>
    </row>
    <row r="14" spans="1:15">
      <c r="A14" s="4">
        <v>19986</v>
      </c>
      <c r="B14" s="5" t="s">
        <v>23</v>
      </c>
      <c r="C14" s="16">
        <v>0.625</v>
      </c>
      <c r="D14" s="4">
        <v>1</v>
      </c>
      <c r="E14" s="4" t="s">
        <v>7</v>
      </c>
      <c r="F14" s="4" t="s">
        <v>112</v>
      </c>
      <c r="G14" s="4">
        <v>1</v>
      </c>
      <c r="H14" s="4" t="s">
        <v>7</v>
      </c>
      <c r="I14" s="4">
        <v>8.7899999999999991</v>
      </c>
      <c r="J14" s="4" t="s">
        <v>104</v>
      </c>
      <c r="K14" s="4"/>
      <c r="N14">
        <f>D14*I14*2</f>
        <v>17.579999999999998</v>
      </c>
      <c r="O14">
        <f t="shared" si="1"/>
        <v>22.853999999999999</v>
      </c>
    </row>
    <row r="15" spans="1:15">
      <c r="A15" s="4">
        <v>21100</v>
      </c>
      <c r="B15" s="5" t="s">
        <v>114</v>
      </c>
      <c r="C15" s="16"/>
      <c r="D15" s="4">
        <v>1</v>
      </c>
      <c r="E15" s="4" t="s">
        <v>7</v>
      </c>
      <c r="F15" s="4" t="s">
        <v>112</v>
      </c>
      <c r="G15" s="4">
        <v>1</v>
      </c>
      <c r="H15" s="4" t="s">
        <v>7</v>
      </c>
      <c r="I15" s="4">
        <v>13.19</v>
      </c>
      <c r="J15" s="4" t="s">
        <v>7</v>
      </c>
      <c r="K15" s="4"/>
      <c r="N15">
        <f>D15*I15</f>
        <v>13.19</v>
      </c>
      <c r="O15">
        <f t="shared" si="1"/>
        <v>17.146999999999998</v>
      </c>
    </row>
    <row r="16" spans="1:15">
      <c r="A16" s="4">
        <v>17319</v>
      </c>
      <c r="B16" s="5" t="s">
        <v>115</v>
      </c>
      <c r="C16" s="16"/>
      <c r="D16" s="4">
        <v>1</v>
      </c>
      <c r="E16" s="4" t="s">
        <v>7</v>
      </c>
      <c r="F16" s="4" t="s">
        <v>112</v>
      </c>
      <c r="G16" s="4">
        <v>1</v>
      </c>
      <c r="H16" s="4" t="s">
        <v>7</v>
      </c>
      <c r="I16" s="4">
        <v>9.89</v>
      </c>
      <c r="J16" s="4" t="s">
        <v>7</v>
      </c>
      <c r="K16" s="4"/>
      <c r="N16">
        <f>D16*I16</f>
        <v>9.89</v>
      </c>
      <c r="O16">
        <f t="shared" si="1"/>
        <v>12.857000000000001</v>
      </c>
    </row>
    <row r="17" spans="1:15">
      <c r="A17" s="4">
        <v>21472</v>
      </c>
      <c r="B17" s="5" t="s">
        <v>116</v>
      </c>
      <c r="C17" s="16"/>
      <c r="D17" s="4">
        <v>1</v>
      </c>
      <c r="E17" s="4" t="s">
        <v>7</v>
      </c>
      <c r="F17" s="4" t="s">
        <v>112</v>
      </c>
      <c r="G17" s="4">
        <v>1</v>
      </c>
      <c r="H17" s="4" t="s">
        <v>7</v>
      </c>
      <c r="I17" s="4">
        <v>4.0599999999999996</v>
      </c>
      <c r="J17" s="4" t="s">
        <v>104</v>
      </c>
      <c r="K17" s="4"/>
      <c r="N17">
        <f>D17*I17</f>
        <v>4.0599999999999996</v>
      </c>
      <c r="O17">
        <f t="shared" si="1"/>
        <v>5.2779999999999996</v>
      </c>
    </row>
    <row r="18" spans="1:15">
      <c r="A18" s="4"/>
      <c r="B18" s="10"/>
      <c r="C18" s="16"/>
      <c r="D18" s="4"/>
      <c r="E18" s="4"/>
      <c r="F18" s="4"/>
      <c r="G18" s="4"/>
      <c r="H18" s="4"/>
      <c r="I18" s="4"/>
      <c r="J18" s="4"/>
      <c r="K18" s="4"/>
      <c r="O18">
        <f t="shared" si="1"/>
        <v>0</v>
      </c>
    </row>
    <row r="19" spans="1:15">
      <c r="A19" s="4">
        <v>289457</v>
      </c>
      <c r="B19" s="10" t="s">
        <v>117</v>
      </c>
      <c r="C19" s="4"/>
      <c r="D19" s="4">
        <v>10</v>
      </c>
      <c r="E19" s="4" t="s">
        <v>102</v>
      </c>
      <c r="F19" s="4"/>
      <c r="G19" s="4">
        <v>10</v>
      </c>
      <c r="H19" s="4" t="s">
        <v>102</v>
      </c>
      <c r="I19" s="4">
        <v>1.19</v>
      </c>
      <c r="J19" s="4" t="s">
        <v>118</v>
      </c>
      <c r="K19" s="4"/>
      <c r="N19">
        <f>D19*I19</f>
        <v>11.899999999999999</v>
      </c>
      <c r="O19">
        <f t="shared" si="1"/>
        <v>15.469999999999999</v>
      </c>
    </row>
    <row r="20" spans="1:15">
      <c r="A20" s="4">
        <v>818334</v>
      </c>
      <c r="B20" s="19" t="s">
        <v>36</v>
      </c>
      <c r="C20" s="16">
        <v>1.875</v>
      </c>
      <c r="D20" s="4">
        <v>2</v>
      </c>
      <c r="E20" s="4" t="s">
        <v>7</v>
      </c>
      <c r="F20" s="4"/>
      <c r="G20" s="4">
        <v>2</v>
      </c>
      <c r="H20" s="4" t="s">
        <v>7</v>
      </c>
      <c r="I20" s="4">
        <v>3.01</v>
      </c>
      <c r="J20" s="4" t="s">
        <v>110</v>
      </c>
      <c r="K20" s="4"/>
      <c r="N20">
        <f>D20*I20</f>
        <v>6.02</v>
      </c>
      <c r="O20">
        <f t="shared" si="1"/>
        <v>7.8259999999999996</v>
      </c>
    </row>
    <row r="21" spans="1:15">
      <c r="A21" s="4">
        <v>638952</v>
      </c>
      <c r="B21" s="21" t="s">
        <v>119</v>
      </c>
      <c r="C21" s="16">
        <v>18.75</v>
      </c>
      <c r="D21" s="4">
        <v>20</v>
      </c>
      <c r="E21" s="4" t="s">
        <v>102</v>
      </c>
      <c r="F21" s="4"/>
      <c r="G21" s="4">
        <v>20</v>
      </c>
      <c r="H21" s="4" t="s">
        <v>102</v>
      </c>
      <c r="I21" s="4">
        <v>0.63700000000000001</v>
      </c>
      <c r="J21" s="4" t="s">
        <v>120</v>
      </c>
      <c r="K21" s="4"/>
      <c r="N21">
        <f>D21*I21</f>
        <v>12.74</v>
      </c>
      <c r="O21">
        <f>N21*3.5</f>
        <v>44.59</v>
      </c>
    </row>
    <row r="22" spans="1:15">
      <c r="A22" s="4">
        <v>156159</v>
      </c>
      <c r="B22" s="21" t="s">
        <v>121</v>
      </c>
      <c r="C22" s="16"/>
      <c r="D22" s="4">
        <v>15</v>
      </c>
      <c r="E22" s="4" t="s">
        <v>102</v>
      </c>
      <c r="F22" s="4"/>
      <c r="G22" s="4">
        <v>15</v>
      </c>
      <c r="H22" s="4" t="s">
        <v>102</v>
      </c>
      <c r="I22" s="4">
        <v>0.39950000000000002</v>
      </c>
      <c r="J22" s="4" t="s">
        <v>122</v>
      </c>
      <c r="K22" s="4"/>
      <c r="N22">
        <f>D22*I22</f>
        <v>5.9925000000000006</v>
      </c>
      <c r="O22">
        <f>G22*2.9</f>
        <v>43.5</v>
      </c>
    </row>
    <row r="23" spans="1:15">
      <c r="A23" s="4">
        <v>546349</v>
      </c>
      <c r="B23" s="21" t="s">
        <v>123</v>
      </c>
      <c r="C23" s="4">
        <v>10</v>
      </c>
      <c r="D23" s="4">
        <v>15</v>
      </c>
      <c r="E23" s="4" t="s">
        <v>102</v>
      </c>
      <c r="F23" s="4"/>
      <c r="G23" s="4">
        <v>15</v>
      </c>
      <c r="H23" s="4" t="s">
        <v>102</v>
      </c>
      <c r="I23" s="4">
        <v>1.42</v>
      </c>
      <c r="J23" s="4" t="s">
        <v>120</v>
      </c>
      <c r="K23" s="4"/>
      <c r="N23">
        <f>D23*I23</f>
        <v>21.299999999999997</v>
      </c>
      <c r="O23">
        <f>G23*2.9</f>
        <v>43.5</v>
      </c>
    </row>
    <row r="24" spans="1:15">
      <c r="A24" s="4">
        <v>545886</v>
      </c>
      <c r="B24" s="18" t="s">
        <v>124</v>
      </c>
      <c r="C24" s="16">
        <v>1</v>
      </c>
      <c r="D24" s="4">
        <v>48</v>
      </c>
      <c r="E24" s="4" t="s">
        <v>102</v>
      </c>
      <c r="F24" s="4"/>
      <c r="G24" s="4">
        <v>48</v>
      </c>
      <c r="H24" s="4" t="s">
        <v>102</v>
      </c>
      <c r="I24" s="4">
        <v>0.3246</v>
      </c>
      <c r="J24" s="4" t="s">
        <v>125</v>
      </c>
      <c r="K24" s="4"/>
      <c r="N24">
        <f>D24*I24</f>
        <v>15.5808</v>
      </c>
      <c r="O24">
        <f t="shared" si="1"/>
        <v>20.255040000000001</v>
      </c>
    </row>
    <row r="25" spans="1:15">
      <c r="A25" s="4">
        <v>978553</v>
      </c>
      <c r="B25" s="18" t="s">
        <v>126</v>
      </c>
      <c r="C25" s="16">
        <v>1</v>
      </c>
      <c r="D25" s="4">
        <f>6*0.175</f>
        <v>1.0499999999999998</v>
      </c>
      <c r="E25" s="4" t="s">
        <v>7</v>
      </c>
      <c r="F25" s="4"/>
      <c r="G25" s="4">
        <f>6*0.175</f>
        <v>1.0499999999999998</v>
      </c>
      <c r="H25" s="4" t="s">
        <v>7</v>
      </c>
      <c r="I25" s="4">
        <v>2.76</v>
      </c>
      <c r="J25" s="4"/>
      <c r="K25" s="4"/>
      <c r="N25">
        <f>6*I25</f>
        <v>16.559999999999999</v>
      </c>
      <c r="O25">
        <f t="shared" si="1"/>
        <v>21.527999999999999</v>
      </c>
    </row>
    <row r="26" spans="1:15">
      <c r="A26" s="4">
        <v>30558</v>
      </c>
      <c r="B26" s="18" t="s">
        <v>127</v>
      </c>
      <c r="C26" s="16">
        <v>0.75</v>
      </c>
      <c r="D26" s="4">
        <v>1</v>
      </c>
      <c r="E26" s="4" t="s">
        <v>7</v>
      </c>
      <c r="F26" s="4"/>
      <c r="G26" s="4">
        <v>1</v>
      </c>
      <c r="H26" s="4" t="s">
        <v>7</v>
      </c>
      <c r="I26" s="4">
        <v>0.13539999999999999</v>
      </c>
      <c r="J26" s="4" t="s">
        <v>128</v>
      </c>
      <c r="K26" s="4"/>
      <c r="N26">
        <f>100*I26</f>
        <v>13.54</v>
      </c>
      <c r="O26">
        <f t="shared" si="1"/>
        <v>17.602</v>
      </c>
    </row>
    <row r="27" spans="1:15">
      <c r="A27" s="4">
        <v>631284</v>
      </c>
      <c r="B27" s="5" t="s">
        <v>56</v>
      </c>
      <c r="C27" s="16">
        <v>0.75</v>
      </c>
      <c r="D27" s="4">
        <v>2</v>
      </c>
      <c r="E27" s="4" t="s">
        <v>102</v>
      </c>
      <c r="F27" s="4"/>
      <c r="G27" s="4">
        <v>2</v>
      </c>
      <c r="H27" s="4" t="s">
        <v>102</v>
      </c>
      <c r="I27" s="4">
        <v>3.41</v>
      </c>
      <c r="J27" s="4" t="s">
        <v>129</v>
      </c>
      <c r="K27" s="4"/>
      <c r="N27">
        <f>D27*I27</f>
        <v>6.82</v>
      </c>
      <c r="O27">
        <f t="shared" si="1"/>
        <v>8.8660000000000014</v>
      </c>
    </row>
    <row r="28" spans="1:15">
      <c r="A28" s="4">
        <v>223568</v>
      </c>
      <c r="B28" s="5" t="s">
        <v>58</v>
      </c>
      <c r="C28" s="16">
        <v>0.625</v>
      </c>
      <c r="D28" s="4">
        <v>2</v>
      </c>
      <c r="E28" s="4" t="s">
        <v>102</v>
      </c>
      <c r="F28" s="4"/>
      <c r="G28" s="4">
        <v>2</v>
      </c>
      <c r="H28" s="4" t="s">
        <v>102</v>
      </c>
      <c r="I28" s="4">
        <v>2.5499999999999998</v>
      </c>
      <c r="J28" s="4" t="s">
        <v>130</v>
      </c>
      <c r="K28" s="4"/>
      <c r="N28">
        <f>D28*I28</f>
        <v>5.0999999999999996</v>
      </c>
      <c r="O28">
        <f t="shared" si="1"/>
        <v>6.63</v>
      </c>
    </row>
    <row r="29" spans="1:15">
      <c r="A29" s="4">
        <v>745082</v>
      </c>
      <c r="B29" s="18" t="s">
        <v>131</v>
      </c>
      <c r="C29" s="16">
        <v>15</v>
      </c>
      <c r="D29" s="4">
        <v>20</v>
      </c>
      <c r="E29" s="4" t="s">
        <v>102</v>
      </c>
      <c r="F29" s="4"/>
      <c r="G29" s="4">
        <v>20</v>
      </c>
      <c r="H29" s="4" t="s">
        <v>102</v>
      </c>
      <c r="I29" s="4">
        <v>0.59</v>
      </c>
      <c r="J29" s="4" t="s">
        <v>132</v>
      </c>
      <c r="K29" s="4"/>
      <c r="N29">
        <f>D29*I29</f>
        <v>11.799999999999999</v>
      </c>
      <c r="O29">
        <f t="shared" si="1"/>
        <v>15.34</v>
      </c>
    </row>
    <row r="30" spans="1:15">
      <c r="A30" s="4">
        <v>533727</v>
      </c>
      <c r="B30" s="18" t="s">
        <v>133</v>
      </c>
      <c r="C30" s="20">
        <v>15</v>
      </c>
      <c r="D30" s="4">
        <v>5</v>
      </c>
      <c r="E30" s="4" t="s">
        <v>102</v>
      </c>
      <c r="F30" s="4"/>
      <c r="G30" s="4">
        <v>5</v>
      </c>
      <c r="H30" s="4" t="s">
        <v>102</v>
      </c>
      <c r="I30" s="4">
        <v>1.62</v>
      </c>
      <c r="J30" s="4"/>
      <c r="K30" s="4"/>
      <c r="N30">
        <f>D30*I30</f>
        <v>8.1000000000000014</v>
      </c>
      <c r="O30">
        <f t="shared" si="1"/>
        <v>10.530000000000003</v>
      </c>
    </row>
    <row r="31" spans="1:15">
      <c r="A31" s="4">
        <v>431311</v>
      </c>
      <c r="B31" s="18" t="s">
        <v>134</v>
      </c>
      <c r="C31" s="20">
        <v>7.5</v>
      </c>
      <c r="D31" s="4">
        <v>5</v>
      </c>
      <c r="E31" s="4" t="s">
        <v>102</v>
      </c>
      <c r="F31" s="4"/>
      <c r="G31" s="4">
        <v>5</v>
      </c>
      <c r="H31" s="4" t="s">
        <v>102</v>
      </c>
      <c r="I31" s="4">
        <v>2.12</v>
      </c>
      <c r="J31" s="4"/>
      <c r="K31" s="4"/>
      <c r="N31">
        <f>D31*I31</f>
        <v>10.600000000000001</v>
      </c>
      <c r="O31">
        <f t="shared" si="1"/>
        <v>13.780000000000003</v>
      </c>
    </row>
    <row r="32" spans="1:15">
      <c r="A32" s="4">
        <v>278612</v>
      </c>
      <c r="B32" s="5" t="s">
        <v>85</v>
      </c>
      <c r="C32" s="16">
        <v>7.5</v>
      </c>
      <c r="D32" s="4">
        <v>12</v>
      </c>
      <c r="E32" s="4" t="s">
        <v>135</v>
      </c>
      <c r="F32" s="4"/>
      <c r="G32" s="4">
        <v>12</v>
      </c>
      <c r="H32" s="4" t="s">
        <v>135</v>
      </c>
      <c r="I32" s="4">
        <v>2.12</v>
      </c>
      <c r="J32" s="4" t="s">
        <v>136</v>
      </c>
      <c r="K32" s="4"/>
      <c r="N32">
        <f>D32*I32</f>
        <v>25.44</v>
      </c>
      <c r="O32">
        <f t="shared" si="1"/>
        <v>33.072000000000003</v>
      </c>
    </row>
    <row r="33" spans="1:15">
      <c r="A33" s="4">
        <v>12402</v>
      </c>
      <c r="B33" s="5" t="s">
        <v>87</v>
      </c>
      <c r="C33" s="16">
        <v>7.5</v>
      </c>
      <c r="D33" s="4">
        <v>6</v>
      </c>
      <c r="E33" s="4" t="s">
        <v>135</v>
      </c>
      <c r="F33" s="4"/>
      <c r="G33" s="4">
        <v>6</v>
      </c>
      <c r="H33" s="4" t="s">
        <v>135</v>
      </c>
      <c r="I33" s="4">
        <v>1.89</v>
      </c>
      <c r="J33" s="4" t="s">
        <v>136</v>
      </c>
      <c r="K33" s="4"/>
      <c r="N33">
        <f>D33*I33</f>
        <v>11.34</v>
      </c>
      <c r="O33">
        <f t="shared" si="1"/>
        <v>14.742000000000001</v>
      </c>
    </row>
    <row r="34" spans="1:15">
      <c r="A34" s="4">
        <v>414930</v>
      </c>
      <c r="B34" s="4" t="s">
        <v>137</v>
      </c>
      <c r="C34" s="4"/>
      <c r="D34" s="4">
        <v>1</v>
      </c>
      <c r="E34" s="4" t="s">
        <v>138</v>
      </c>
      <c r="F34" s="4"/>
      <c r="G34" s="4">
        <v>1</v>
      </c>
      <c r="H34" s="4" t="s">
        <v>138</v>
      </c>
      <c r="I34" s="4">
        <v>3.04</v>
      </c>
      <c r="J34" s="4"/>
      <c r="K34" s="4"/>
      <c r="N34">
        <f>D34*I34</f>
        <v>3.04</v>
      </c>
      <c r="O34">
        <f t="shared" si="1"/>
        <v>3.9520000000000004</v>
      </c>
    </row>
    <row r="35" spans="1:15">
      <c r="A35" s="4">
        <v>414927</v>
      </c>
      <c r="B35" s="4" t="s">
        <v>139</v>
      </c>
      <c r="C35" s="4"/>
      <c r="D35" s="4">
        <v>1</v>
      </c>
      <c r="E35" s="4" t="s">
        <v>138</v>
      </c>
      <c r="F35" s="4"/>
      <c r="G35" s="4">
        <v>1</v>
      </c>
      <c r="H35" s="4" t="s">
        <v>138</v>
      </c>
      <c r="I35" s="4">
        <v>3.26</v>
      </c>
      <c r="J35" s="4"/>
      <c r="K35" s="4"/>
      <c r="N35">
        <f>D35*I35</f>
        <v>3.26</v>
      </c>
      <c r="O35">
        <f t="shared" si="1"/>
        <v>4.2379999999999995</v>
      </c>
    </row>
    <row r="36" spans="1:15">
      <c r="A36" s="4">
        <v>414929</v>
      </c>
      <c r="B36" s="4" t="s">
        <v>140</v>
      </c>
      <c r="C36" s="4"/>
      <c r="D36" s="4">
        <v>1</v>
      </c>
      <c r="E36" s="4" t="s">
        <v>138</v>
      </c>
      <c r="F36" s="4"/>
      <c r="G36" s="4">
        <v>1</v>
      </c>
      <c r="H36" s="4" t="s">
        <v>138</v>
      </c>
      <c r="I36" s="4">
        <v>3.04</v>
      </c>
      <c r="J36" s="4"/>
      <c r="K36" s="4"/>
      <c r="N36">
        <f>D36*I36</f>
        <v>3.04</v>
      </c>
      <c r="O36">
        <f t="shared" si="1"/>
        <v>3.9520000000000004</v>
      </c>
    </row>
    <row r="37" spans="1:15">
      <c r="A37" s="4">
        <v>414931</v>
      </c>
      <c r="B37" s="4" t="s">
        <v>141</v>
      </c>
      <c r="C37" s="4"/>
      <c r="D37" s="4">
        <v>1</v>
      </c>
      <c r="E37" s="4" t="s">
        <v>138</v>
      </c>
      <c r="F37" s="4"/>
      <c r="G37" s="4">
        <v>1</v>
      </c>
      <c r="H37" s="4" t="s">
        <v>138</v>
      </c>
      <c r="I37" s="4">
        <v>3.26</v>
      </c>
      <c r="J37" s="4"/>
      <c r="K37" s="4"/>
      <c r="N37">
        <f>D37*I37</f>
        <v>3.26</v>
      </c>
      <c r="O37">
        <f t="shared" si="1"/>
        <v>4.2379999999999995</v>
      </c>
    </row>
    <row r="38" spans="1:15">
      <c r="A38" s="4">
        <v>436486</v>
      </c>
      <c r="B38" s="4" t="s">
        <v>142</v>
      </c>
      <c r="C38" s="4"/>
      <c r="D38" s="4">
        <v>4</v>
      </c>
      <c r="E38" s="4" t="s">
        <v>7</v>
      </c>
      <c r="F38" s="4" t="s">
        <v>143</v>
      </c>
      <c r="G38" s="4">
        <v>4</v>
      </c>
      <c r="H38" s="4" t="s">
        <v>7</v>
      </c>
      <c r="I38" s="4">
        <v>10.050000000000001</v>
      </c>
      <c r="J38" t="s">
        <v>144</v>
      </c>
      <c r="N38">
        <f>D38*I38/2</f>
        <v>20.100000000000001</v>
      </c>
      <c r="O38">
        <f t="shared" si="1"/>
        <v>26.130000000000003</v>
      </c>
    </row>
    <row r="39" spans="1:15">
      <c r="A39" s="4">
        <v>277977</v>
      </c>
      <c r="B39" s="4" t="s">
        <v>145</v>
      </c>
      <c r="C39" s="4"/>
      <c r="D39" s="4">
        <v>2</v>
      </c>
      <c r="E39" s="4" t="s">
        <v>7</v>
      </c>
      <c r="F39" s="4" t="s">
        <v>143</v>
      </c>
      <c r="G39" s="4">
        <v>2</v>
      </c>
      <c r="H39" s="4" t="s">
        <v>7</v>
      </c>
      <c r="I39" s="4">
        <v>0.65</v>
      </c>
      <c r="J39" s="4" t="s">
        <v>104</v>
      </c>
      <c r="K39" s="4"/>
      <c r="N39">
        <f>D39*I39</f>
        <v>1.3</v>
      </c>
      <c r="O39">
        <f t="shared" si="1"/>
        <v>1.6900000000000002</v>
      </c>
    </row>
    <row r="40" spans="1:15">
      <c r="A40" s="16">
        <v>31477</v>
      </c>
      <c r="B40" s="25" t="s">
        <v>6</v>
      </c>
      <c r="C40" s="16">
        <v>4.5</v>
      </c>
      <c r="D40" s="16">
        <v>5</v>
      </c>
      <c r="E40" s="16" t="s">
        <v>7</v>
      </c>
      <c r="F40" s="16" t="s">
        <v>101</v>
      </c>
      <c r="G40" s="16">
        <v>2</v>
      </c>
      <c r="H40" s="16" t="s">
        <v>146</v>
      </c>
      <c r="I40" s="87">
        <v>1.62</v>
      </c>
      <c r="J40" s="14" t="s">
        <v>7</v>
      </c>
      <c r="K40" s="14">
        <f>I40*G40</f>
        <v>3.24</v>
      </c>
      <c r="N40">
        <f>G40*I40</f>
        <v>3.24</v>
      </c>
      <c r="O40">
        <f t="shared" si="1"/>
        <v>4.2120000000000006</v>
      </c>
    </row>
    <row r="41" spans="1:15">
      <c r="A41" s="16">
        <v>211702</v>
      </c>
      <c r="B41" s="24" t="s">
        <v>12</v>
      </c>
      <c r="C41" s="16">
        <v>0.75</v>
      </c>
      <c r="D41" s="16">
        <v>6</v>
      </c>
      <c r="E41" s="16" t="s">
        <v>7</v>
      </c>
      <c r="F41" s="16" t="s">
        <v>101</v>
      </c>
      <c r="G41" s="16">
        <v>4</v>
      </c>
      <c r="H41" s="16" t="s">
        <v>7</v>
      </c>
      <c r="I41" s="16">
        <v>1.57</v>
      </c>
      <c r="J41" s="16" t="s">
        <v>110</v>
      </c>
      <c r="K41" s="14">
        <f>I41*G41</f>
        <v>6.28</v>
      </c>
      <c r="N41">
        <f>G41*I41</f>
        <v>6.28</v>
      </c>
      <c r="O41">
        <f t="shared" si="1"/>
        <v>8.1640000000000015</v>
      </c>
    </row>
    <row r="42" spans="1:15">
      <c r="A42" s="16">
        <v>278612</v>
      </c>
      <c r="B42" s="25" t="s">
        <v>85</v>
      </c>
      <c r="C42" s="16">
        <v>7.5</v>
      </c>
      <c r="D42" s="16">
        <v>12</v>
      </c>
      <c r="E42" s="16" t="s">
        <v>135</v>
      </c>
      <c r="F42" s="16"/>
      <c r="G42" s="16">
        <v>15</v>
      </c>
      <c r="H42" s="16" t="s">
        <v>147</v>
      </c>
      <c r="I42" s="16">
        <v>2.12</v>
      </c>
      <c r="J42" s="16" t="s">
        <v>136</v>
      </c>
      <c r="K42" s="14">
        <f>I42*G42</f>
        <v>31.8</v>
      </c>
      <c r="N42">
        <f>G42*I42</f>
        <v>31.8</v>
      </c>
      <c r="O42">
        <f t="shared" si="1"/>
        <v>41.34</v>
      </c>
    </row>
    <row r="43" spans="1:15">
      <c r="B43" s="16" t="s">
        <v>148</v>
      </c>
      <c r="C43" s="16"/>
      <c r="D43" s="16"/>
      <c r="E43" s="16"/>
      <c r="F43" s="16"/>
      <c r="G43" s="16">
        <v>1.07</v>
      </c>
      <c r="H43" s="16" t="s">
        <v>147</v>
      </c>
      <c r="I43" s="16">
        <v>12.83</v>
      </c>
      <c r="J43" s="16" t="s">
        <v>149</v>
      </c>
      <c r="K43" s="14">
        <f>I43*G43</f>
        <v>13.728100000000001</v>
      </c>
      <c r="N43">
        <f>G43*I43</f>
        <v>13.728100000000001</v>
      </c>
      <c r="O43">
        <f t="shared" si="1"/>
        <v>17.846530000000001</v>
      </c>
    </row>
    <row r="44" spans="1:15">
      <c r="B44" s="16" t="s">
        <v>150</v>
      </c>
      <c r="C44" s="16"/>
      <c r="D44" s="16"/>
      <c r="E44" s="16"/>
      <c r="F44" s="16"/>
      <c r="G44" s="16">
        <v>1</v>
      </c>
      <c r="H44" s="16" t="s">
        <v>151</v>
      </c>
      <c r="I44" s="16">
        <v>3.26</v>
      </c>
      <c r="J44" s="16" t="s">
        <v>151</v>
      </c>
      <c r="K44" s="14">
        <f>I44*G44</f>
        <v>3.26</v>
      </c>
      <c r="N44">
        <f>G44*I44</f>
        <v>3.26</v>
      </c>
      <c r="O44">
        <f t="shared" si="1"/>
        <v>4.2379999999999995</v>
      </c>
    </row>
    <row r="45" spans="1:15">
      <c r="B45" s="16" t="s">
        <v>152</v>
      </c>
      <c r="C45" s="16"/>
      <c r="D45" s="16"/>
      <c r="E45" s="16"/>
      <c r="F45" s="16"/>
      <c r="G45" s="16">
        <v>1</v>
      </c>
      <c r="H45" s="16" t="s">
        <v>151</v>
      </c>
      <c r="I45" s="16">
        <v>2.4500000000000002</v>
      </c>
      <c r="J45" s="16" t="s">
        <v>151</v>
      </c>
      <c r="K45" s="14">
        <f>I45*G45</f>
        <v>2.4500000000000002</v>
      </c>
      <c r="N45">
        <f>G45*I45</f>
        <v>2.4500000000000002</v>
      </c>
      <c r="O45">
        <f t="shared" si="1"/>
        <v>3.1850000000000005</v>
      </c>
    </row>
    <row r="46" spans="1:15">
      <c r="B46" s="36" t="s">
        <v>153</v>
      </c>
      <c r="C46" s="36"/>
      <c r="D46" s="36"/>
      <c r="E46" s="36"/>
      <c r="F46" s="36"/>
      <c r="G46" s="36">
        <v>1</v>
      </c>
      <c r="H46" s="36" t="s">
        <v>151</v>
      </c>
      <c r="I46" s="36">
        <v>3.26</v>
      </c>
      <c r="J46" s="36" t="s">
        <v>151</v>
      </c>
      <c r="K46" s="14">
        <f>I46*G46</f>
        <v>3.26</v>
      </c>
      <c r="N46">
        <f>G46*I46</f>
        <v>3.26</v>
      </c>
      <c r="O46">
        <f t="shared" si="1"/>
        <v>4.2379999999999995</v>
      </c>
    </row>
    <row r="47" spans="1:15">
      <c r="B47" s="16" t="s">
        <v>154</v>
      </c>
      <c r="C47" s="16"/>
      <c r="D47" s="16"/>
      <c r="E47" s="16"/>
      <c r="F47" s="16"/>
      <c r="G47" s="16">
        <v>1</v>
      </c>
      <c r="H47" s="16" t="s">
        <v>151</v>
      </c>
      <c r="I47" s="16">
        <v>2.4500000000000002</v>
      </c>
      <c r="J47" s="16" t="s">
        <v>151</v>
      </c>
      <c r="K47" s="14">
        <f>I47*G47</f>
        <v>2.4500000000000002</v>
      </c>
      <c r="N47">
        <f>G47*I47</f>
        <v>2.4500000000000002</v>
      </c>
      <c r="O47">
        <f t="shared" si="1"/>
        <v>3.1850000000000005</v>
      </c>
    </row>
    <row r="48" spans="1:15">
      <c r="B48" s="16" t="s">
        <v>155</v>
      </c>
      <c r="C48" s="16"/>
      <c r="D48" s="16"/>
      <c r="E48" s="16"/>
      <c r="F48" s="16"/>
      <c r="G48" s="16">
        <v>1.7</v>
      </c>
      <c r="H48" s="16" t="s">
        <v>7</v>
      </c>
      <c r="I48" s="16">
        <v>10.050000000000001</v>
      </c>
      <c r="J48" s="16" t="s">
        <v>156</v>
      </c>
      <c r="K48" s="14">
        <f>I48*G48</f>
        <v>17.085000000000001</v>
      </c>
      <c r="N48">
        <f>G48*I48</f>
        <v>17.085000000000001</v>
      </c>
      <c r="O48">
        <f t="shared" si="1"/>
        <v>22.210500000000003</v>
      </c>
    </row>
    <row r="49" spans="1:15">
      <c r="B49" s="16" t="s">
        <v>157</v>
      </c>
      <c r="C49" s="16"/>
      <c r="D49" s="16"/>
      <c r="E49" s="16"/>
      <c r="F49" s="16"/>
      <c r="G49" s="16">
        <v>1.5</v>
      </c>
      <c r="H49" s="16" t="s">
        <v>7</v>
      </c>
      <c r="I49" s="16">
        <v>10.69</v>
      </c>
      <c r="J49" s="16" t="s">
        <v>158</v>
      </c>
      <c r="K49" s="14">
        <f>I49*G49</f>
        <v>16.035</v>
      </c>
      <c r="N49">
        <f>G49*I49</f>
        <v>16.035</v>
      </c>
      <c r="O49">
        <f t="shared" si="1"/>
        <v>20.845500000000001</v>
      </c>
    </row>
    <row r="50" spans="1:15">
      <c r="A50" s="55">
        <v>280062</v>
      </c>
      <c r="B50" s="34" t="s">
        <v>9</v>
      </c>
      <c r="C50" s="42"/>
      <c r="D50" s="42"/>
      <c r="E50" s="4"/>
      <c r="G50" s="37">
        <v>2</v>
      </c>
      <c r="H50" s="37" t="s">
        <v>7</v>
      </c>
      <c r="I50" s="45">
        <v>2.19</v>
      </c>
      <c r="J50" s="46" t="s">
        <v>146</v>
      </c>
      <c r="K50" s="16">
        <f>I50*G50</f>
        <v>4.38</v>
      </c>
      <c r="N50">
        <f>G50*I50</f>
        <v>4.38</v>
      </c>
      <c r="O50">
        <f t="shared" si="1"/>
        <v>5.694</v>
      </c>
    </row>
    <row r="51" spans="1:15">
      <c r="A51" s="55" t="s">
        <v>159</v>
      </c>
      <c r="B51" s="35" t="s">
        <v>103</v>
      </c>
      <c r="C51" s="42"/>
      <c r="D51" s="42"/>
      <c r="E51" s="4"/>
      <c r="G51" s="37">
        <v>0.5</v>
      </c>
      <c r="H51" s="37" t="s">
        <v>7</v>
      </c>
      <c r="I51" s="45">
        <v>1.97</v>
      </c>
      <c r="J51" s="46" t="s">
        <v>104</v>
      </c>
      <c r="K51" s="16">
        <f>I51*G51</f>
        <v>0.98499999999999999</v>
      </c>
      <c r="N51">
        <f>G51*I51</f>
        <v>0.98499999999999999</v>
      </c>
      <c r="O51">
        <f t="shared" si="1"/>
        <v>1.2805</v>
      </c>
    </row>
    <row r="52" spans="1:15">
      <c r="A52" s="55">
        <v>266071</v>
      </c>
      <c r="B52" s="35" t="s">
        <v>105</v>
      </c>
      <c r="C52" s="42"/>
      <c r="D52" s="42"/>
      <c r="E52" s="4"/>
      <c r="G52" s="37">
        <v>0.5</v>
      </c>
      <c r="H52" s="37" t="s">
        <v>7</v>
      </c>
      <c r="I52" s="45">
        <v>1.97</v>
      </c>
      <c r="J52" s="46" t="s">
        <v>104</v>
      </c>
      <c r="K52" s="16">
        <f>I52*G52</f>
        <v>0.98499999999999999</v>
      </c>
      <c r="N52">
        <f>G52*I52</f>
        <v>0.98499999999999999</v>
      </c>
      <c r="O52">
        <f t="shared" si="1"/>
        <v>1.2805</v>
      </c>
    </row>
    <row r="53" spans="1:15">
      <c r="A53" s="55">
        <v>211702</v>
      </c>
      <c r="B53" s="35" t="s">
        <v>12</v>
      </c>
      <c r="C53" s="42"/>
      <c r="D53" s="42"/>
      <c r="E53" s="4"/>
      <c r="G53" s="37">
        <v>3</v>
      </c>
      <c r="H53" s="37" t="s">
        <v>7</v>
      </c>
      <c r="I53" s="45">
        <v>1.57</v>
      </c>
      <c r="J53" s="46" t="s">
        <v>146</v>
      </c>
      <c r="K53" s="14">
        <f>I53*G53</f>
        <v>4.71</v>
      </c>
      <c r="N53">
        <f>G53*I53</f>
        <v>4.71</v>
      </c>
      <c r="O53">
        <f t="shared" si="1"/>
        <v>6.1230000000000002</v>
      </c>
    </row>
    <row r="54" spans="1:15">
      <c r="A54" s="55">
        <v>21100</v>
      </c>
      <c r="B54" s="34" t="s">
        <v>114</v>
      </c>
      <c r="C54" s="42"/>
      <c r="D54" s="42"/>
      <c r="E54" s="4"/>
      <c r="G54" s="37">
        <v>0.5</v>
      </c>
      <c r="H54" s="37" t="s">
        <v>7</v>
      </c>
      <c r="I54" s="45">
        <v>13.19</v>
      </c>
      <c r="J54" s="46" t="s">
        <v>146</v>
      </c>
      <c r="K54" s="16">
        <f>I54*G54</f>
        <v>6.5949999999999998</v>
      </c>
      <c r="N54">
        <f>G54*I54</f>
        <v>6.5949999999999998</v>
      </c>
      <c r="O54">
        <f t="shared" si="1"/>
        <v>8.5734999999999992</v>
      </c>
    </row>
    <row r="55" spans="1:15">
      <c r="A55" s="55">
        <v>17319</v>
      </c>
      <c r="B55" s="34" t="s">
        <v>115</v>
      </c>
      <c r="C55" s="42"/>
      <c r="D55" s="42"/>
      <c r="E55" s="4"/>
      <c r="G55" s="37">
        <v>0.5</v>
      </c>
      <c r="H55" s="37" t="s">
        <v>7</v>
      </c>
      <c r="I55" s="45">
        <v>9.89</v>
      </c>
      <c r="J55" s="46" t="s">
        <v>146</v>
      </c>
      <c r="K55" s="16">
        <f>I55*G55</f>
        <v>4.9450000000000003</v>
      </c>
      <c r="N55">
        <f>G55*I55</f>
        <v>4.9450000000000003</v>
      </c>
      <c r="O55">
        <f t="shared" si="1"/>
        <v>6.4285000000000005</v>
      </c>
    </row>
    <row r="56" spans="1:15">
      <c r="A56" s="55">
        <v>978553</v>
      </c>
      <c r="B56" s="35" t="s">
        <v>160</v>
      </c>
      <c r="C56" s="42"/>
      <c r="D56" s="42"/>
      <c r="E56" s="4"/>
      <c r="G56" s="37">
        <v>4</v>
      </c>
      <c r="H56" s="37" t="s">
        <v>161</v>
      </c>
      <c r="I56" s="45">
        <v>2.76</v>
      </c>
      <c r="J56" s="46"/>
      <c r="K56" s="16">
        <f>I56*G56</f>
        <v>11.04</v>
      </c>
      <c r="N56">
        <f>G56*I56</f>
        <v>11.04</v>
      </c>
      <c r="O56">
        <f t="shared" si="1"/>
        <v>14.351999999999999</v>
      </c>
    </row>
    <row r="57" spans="1:15">
      <c r="A57" s="55">
        <v>732497</v>
      </c>
      <c r="B57" s="35" t="s">
        <v>162</v>
      </c>
      <c r="C57" s="42">
        <v>6</v>
      </c>
      <c r="D57" s="42" t="s">
        <v>7</v>
      </c>
      <c r="E57" s="4" t="s">
        <v>163</v>
      </c>
      <c r="G57" s="37">
        <v>3</v>
      </c>
      <c r="H57" s="37" t="s">
        <v>146</v>
      </c>
      <c r="I57" s="45">
        <v>21.99</v>
      </c>
      <c r="J57" s="46" t="s">
        <v>164</v>
      </c>
      <c r="K57" s="16">
        <f>I57</f>
        <v>21.99</v>
      </c>
      <c r="N57">
        <f>G57*I57</f>
        <v>65.97</v>
      </c>
      <c r="O57">
        <f t="shared" si="1"/>
        <v>85.760999999999996</v>
      </c>
    </row>
    <row r="58" spans="1:15">
      <c r="A58" s="55">
        <v>745082</v>
      </c>
      <c r="B58" s="35" t="s">
        <v>131</v>
      </c>
      <c r="C58" s="42"/>
      <c r="D58" s="42"/>
      <c r="E58" s="4"/>
      <c r="G58" s="20" t="s">
        <v>165</v>
      </c>
      <c r="H58" s="20" t="s">
        <v>161</v>
      </c>
      <c r="I58" s="20">
        <v>0.59</v>
      </c>
      <c r="J58" s="52" t="s">
        <v>132</v>
      </c>
      <c r="K58" s="20">
        <v>5.9</v>
      </c>
      <c r="N58">
        <f>I58*10</f>
        <v>5.8999999999999995</v>
      </c>
      <c r="O58">
        <f t="shared" si="1"/>
        <v>7.67</v>
      </c>
    </row>
    <row r="59" spans="1:15">
      <c r="A59" s="55">
        <v>431311</v>
      </c>
      <c r="B59" s="35" t="s">
        <v>166</v>
      </c>
      <c r="C59" s="42"/>
      <c r="D59" s="42"/>
      <c r="E59" s="4"/>
      <c r="G59" s="37">
        <v>6</v>
      </c>
      <c r="H59" s="37" t="s">
        <v>161</v>
      </c>
      <c r="I59" s="45">
        <v>2.2000000000000002</v>
      </c>
      <c r="J59" s="46" t="s">
        <v>167</v>
      </c>
      <c r="K59" s="16">
        <f>I59*G59</f>
        <v>13.200000000000001</v>
      </c>
      <c r="N59">
        <f>G59*I59</f>
        <v>13.200000000000001</v>
      </c>
      <c r="O59">
        <f t="shared" si="1"/>
        <v>17.160000000000004</v>
      </c>
    </row>
    <row r="60" spans="1:15">
      <c r="A60" s="55">
        <v>503520</v>
      </c>
      <c r="B60" s="30" t="s">
        <v>168</v>
      </c>
      <c r="C60" s="42">
        <v>12</v>
      </c>
      <c r="D60" s="42" t="s">
        <v>147</v>
      </c>
      <c r="E60" s="4"/>
      <c r="G60" s="37">
        <v>9</v>
      </c>
      <c r="H60" s="37" t="s">
        <v>147</v>
      </c>
      <c r="I60" s="45">
        <v>1.55</v>
      </c>
      <c r="J60" s="46" t="s">
        <v>147</v>
      </c>
      <c r="K60" s="14">
        <f>I60*G60</f>
        <v>13.950000000000001</v>
      </c>
      <c r="N60">
        <f>G60*I60</f>
        <v>13.950000000000001</v>
      </c>
      <c r="O60">
        <f t="shared" si="1"/>
        <v>18.135000000000002</v>
      </c>
    </row>
    <row r="61" spans="1:15">
      <c r="A61" s="55">
        <v>278612</v>
      </c>
      <c r="B61" s="29" t="s">
        <v>169</v>
      </c>
      <c r="C61" s="42">
        <v>12</v>
      </c>
      <c r="D61" s="42" t="s">
        <v>147</v>
      </c>
      <c r="E61" s="4"/>
      <c r="G61" s="37">
        <v>6</v>
      </c>
      <c r="H61" s="37" t="s">
        <v>147</v>
      </c>
      <c r="I61" s="45">
        <v>1.89</v>
      </c>
      <c r="J61" s="46" t="s">
        <v>147</v>
      </c>
      <c r="K61" s="16">
        <f>I61*G61</f>
        <v>11.34</v>
      </c>
      <c r="N61">
        <f>G61*I61</f>
        <v>11.34</v>
      </c>
      <c r="O61">
        <f t="shared" si="1"/>
        <v>14.742000000000001</v>
      </c>
    </row>
    <row r="62" spans="1:15">
      <c r="A62" s="55">
        <v>277977</v>
      </c>
      <c r="B62" s="29" t="s">
        <v>145</v>
      </c>
      <c r="C62" s="42"/>
      <c r="D62" s="42"/>
      <c r="E62" s="4"/>
      <c r="G62" s="37">
        <v>1</v>
      </c>
      <c r="H62" s="37" t="s">
        <v>7</v>
      </c>
      <c r="I62" s="45">
        <v>0.65</v>
      </c>
      <c r="J62" s="46" t="s">
        <v>104</v>
      </c>
      <c r="K62" s="16">
        <f>I62</f>
        <v>0.65</v>
      </c>
      <c r="N62">
        <f>G62*I62</f>
        <v>0.65</v>
      </c>
      <c r="O62">
        <f t="shared" si="1"/>
        <v>0.84500000000000008</v>
      </c>
    </row>
    <row r="63" spans="1:15">
      <c r="A63" s="55">
        <v>114522</v>
      </c>
      <c r="B63" s="5" t="s">
        <v>170</v>
      </c>
      <c r="C63" s="42">
        <v>1</v>
      </c>
      <c r="D63" s="42" t="s">
        <v>171</v>
      </c>
      <c r="E63" s="4"/>
      <c r="G63" s="37">
        <v>370</v>
      </c>
      <c r="H63" s="37" t="s">
        <v>161</v>
      </c>
      <c r="I63" s="45">
        <v>3.29</v>
      </c>
      <c r="J63" s="46" t="s">
        <v>172</v>
      </c>
      <c r="K63" s="16">
        <f>I63</f>
        <v>3.29</v>
      </c>
      <c r="N63">
        <f>K63</f>
        <v>3.29</v>
      </c>
      <c r="O63">
        <f t="shared" si="1"/>
        <v>4.2770000000000001</v>
      </c>
    </row>
    <row r="64" spans="1:15">
      <c r="A64" s="55">
        <v>114575</v>
      </c>
      <c r="B64" s="5" t="s">
        <v>173</v>
      </c>
      <c r="C64" s="42">
        <v>1</v>
      </c>
      <c r="D64" s="42" t="s">
        <v>171</v>
      </c>
      <c r="E64" s="4"/>
      <c r="G64" s="37">
        <v>370</v>
      </c>
      <c r="H64" s="37" t="s">
        <v>161</v>
      </c>
      <c r="I64" s="45">
        <v>3.29</v>
      </c>
      <c r="J64" s="46" t="s">
        <v>172</v>
      </c>
      <c r="K64" s="16">
        <f>I64</f>
        <v>3.29</v>
      </c>
      <c r="N64">
        <f t="shared" ref="N64:N81" si="3">K64</f>
        <v>3.29</v>
      </c>
      <c r="O64">
        <f t="shared" si="1"/>
        <v>4.2770000000000001</v>
      </c>
    </row>
    <row r="65" spans="1:15">
      <c r="A65" s="55">
        <v>114585</v>
      </c>
      <c r="B65" s="5" t="s">
        <v>174</v>
      </c>
      <c r="C65" s="42">
        <v>1</v>
      </c>
      <c r="D65" s="42" t="s">
        <v>171</v>
      </c>
      <c r="E65" s="4"/>
      <c r="G65" s="37">
        <v>370</v>
      </c>
      <c r="H65" s="37" t="s">
        <v>161</v>
      </c>
      <c r="I65" s="45">
        <v>3.29</v>
      </c>
      <c r="J65" s="46" t="s">
        <v>172</v>
      </c>
      <c r="K65" s="16">
        <f>I65</f>
        <v>3.29</v>
      </c>
      <c r="N65">
        <f t="shared" si="3"/>
        <v>3.29</v>
      </c>
      <c r="O65">
        <f t="shared" si="1"/>
        <v>4.2770000000000001</v>
      </c>
    </row>
    <row r="66" spans="1:15">
      <c r="A66" s="56">
        <v>114586</v>
      </c>
      <c r="B66" s="53" t="s">
        <v>175</v>
      </c>
      <c r="C66" s="43">
        <v>1</v>
      </c>
      <c r="D66" s="43" t="s">
        <v>171</v>
      </c>
      <c r="E66" s="27"/>
      <c r="G66" s="38">
        <v>370</v>
      </c>
      <c r="H66" s="37" t="s">
        <v>161</v>
      </c>
      <c r="I66" s="47">
        <v>3.29</v>
      </c>
      <c r="J66" s="46" t="s">
        <v>172</v>
      </c>
      <c r="K66" s="36">
        <f>I66</f>
        <v>3.29</v>
      </c>
      <c r="N66">
        <f t="shared" si="3"/>
        <v>3.29</v>
      </c>
      <c r="O66">
        <f t="shared" si="1"/>
        <v>4.2770000000000001</v>
      </c>
    </row>
    <row r="67" spans="1:15">
      <c r="A67" s="56">
        <v>297071</v>
      </c>
      <c r="B67" s="53" t="s">
        <v>176</v>
      </c>
      <c r="C67" s="43">
        <v>1</v>
      </c>
      <c r="D67" s="43" t="s">
        <v>171</v>
      </c>
      <c r="E67" s="27"/>
      <c r="G67" s="38">
        <v>370</v>
      </c>
      <c r="H67" s="37" t="s">
        <v>161</v>
      </c>
      <c r="I67" s="47">
        <v>3.29</v>
      </c>
      <c r="J67" s="46" t="s">
        <v>172</v>
      </c>
      <c r="K67" s="36">
        <f>I67</f>
        <v>3.29</v>
      </c>
      <c r="N67">
        <f t="shared" si="3"/>
        <v>3.29</v>
      </c>
      <c r="O67">
        <f t="shared" ref="O67:O103" si="4">N67*1.3</f>
        <v>4.2770000000000001</v>
      </c>
    </row>
    <row r="68" spans="1:15">
      <c r="A68" s="55" t="s">
        <v>177</v>
      </c>
      <c r="B68" s="5" t="s">
        <v>178</v>
      </c>
      <c r="C68" s="42">
        <v>1.5</v>
      </c>
      <c r="D68" s="42" t="s">
        <v>7</v>
      </c>
      <c r="E68" s="4"/>
      <c r="G68" s="37">
        <v>1.5</v>
      </c>
      <c r="H68" s="37" t="s">
        <v>7</v>
      </c>
      <c r="I68" s="45">
        <v>9.99</v>
      </c>
      <c r="J68" s="46" t="s">
        <v>158</v>
      </c>
      <c r="K68" s="16">
        <f>I68</f>
        <v>9.99</v>
      </c>
      <c r="N68">
        <f t="shared" si="3"/>
        <v>9.99</v>
      </c>
      <c r="O68">
        <f t="shared" si="4"/>
        <v>12.987</v>
      </c>
    </row>
    <row r="69" spans="1:15">
      <c r="A69" s="56" t="s">
        <v>179</v>
      </c>
      <c r="B69" s="53" t="s">
        <v>180</v>
      </c>
      <c r="C69" s="43">
        <v>10</v>
      </c>
      <c r="D69" s="43" t="s">
        <v>181</v>
      </c>
      <c r="E69" s="27"/>
      <c r="G69" s="38">
        <v>4</v>
      </c>
      <c r="H69" s="38" t="s">
        <v>151</v>
      </c>
      <c r="I69" s="47">
        <v>1.69</v>
      </c>
      <c r="J69" s="48" t="s">
        <v>151</v>
      </c>
      <c r="K69" s="36">
        <f>I69*G69</f>
        <v>6.76</v>
      </c>
      <c r="N69">
        <f t="shared" si="3"/>
        <v>6.76</v>
      </c>
      <c r="O69">
        <f t="shared" si="4"/>
        <v>8.7880000000000003</v>
      </c>
    </row>
    <row r="70" spans="1:15">
      <c r="A70" s="55" t="s">
        <v>182</v>
      </c>
      <c r="B70" s="5" t="s">
        <v>183</v>
      </c>
      <c r="C70" s="42">
        <v>1</v>
      </c>
      <c r="D70" s="42" t="s">
        <v>184</v>
      </c>
      <c r="E70" s="4" t="s">
        <v>185</v>
      </c>
      <c r="G70" s="37">
        <v>1</v>
      </c>
      <c r="H70" s="37" t="s">
        <v>184</v>
      </c>
      <c r="I70" s="45">
        <v>4.99</v>
      </c>
      <c r="J70" s="46" t="s">
        <v>184</v>
      </c>
      <c r="K70" s="16">
        <f>I70</f>
        <v>4.99</v>
      </c>
      <c r="N70">
        <f t="shared" si="3"/>
        <v>4.99</v>
      </c>
      <c r="O70">
        <f t="shared" si="4"/>
        <v>6.4870000000000001</v>
      </c>
    </row>
    <row r="71" spans="1:15">
      <c r="A71" s="56" t="s">
        <v>186</v>
      </c>
      <c r="B71" s="53" t="s">
        <v>187</v>
      </c>
      <c r="C71" s="43">
        <v>6</v>
      </c>
      <c r="D71" s="43" t="s">
        <v>188</v>
      </c>
      <c r="E71" s="27" t="s">
        <v>189</v>
      </c>
      <c r="G71" s="38">
        <v>6</v>
      </c>
      <c r="H71" s="38" t="s">
        <v>102</v>
      </c>
      <c r="I71" s="47">
        <v>1.19</v>
      </c>
      <c r="J71" s="48" t="s">
        <v>102</v>
      </c>
      <c r="K71" s="36">
        <f>I71*G71</f>
        <v>7.14</v>
      </c>
      <c r="N71">
        <f t="shared" si="3"/>
        <v>7.14</v>
      </c>
      <c r="O71">
        <f t="shared" si="4"/>
        <v>9.282</v>
      </c>
    </row>
    <row r="72" spans="1:15">
      <c r="A72" s="55" t="s">
        <v>190</v>
      </c>
      <c r="B72" s="5" t="s">
        <v>191</v>
      </c>
      <c r="C72" s="42">
        <v>6</v>
      </c>
      <c r="D72" s="42" t="s">
        <v>188</v>
      </c>
      <c r="E72" s="4" t="s">
        <v>189</v>
      </c>
      <c r="G72" s="37">
        <v>6</v>
      </c>
      <c r="H72" s="37" t="s">
        <v>102</v>
      </c>
      <c r="I72" s="45">
        <v>1.19</v>
      </c>
      <c r="J72" s="46" t="s">
        <v>102</v>
      </c>
      <c r="K72" s="16">
        <f>I72*G72</f>
        <v>7.14</v>
      </c>
      <c r="N72">
        <f t="shared" si="3"/>
        <v>7.14</v>
      </c>
      <c r="O72">
        <f t="shared" si="4"/>
        <v>9.282</v>
      </c>
    </row>
    <row r="73" spans="1:15">
      <c r="A73" s="56" t="s">
        <v>192</v>
      </c>
      <c r="B73" s="53" t="s">
        <v>193</v>
      </c>
      <c r="C73" s="43">
        <v>1</v>
      </c>
      <c r="D73" s="43" t="s">
        <v>194</v>
      </c>
      <c r="E73" s="27" t="s">
        <v>195</v>
      </c>
      <c r="G73" s="38">
        <v>1</v>
      </c>
      <c r="H73" s="38" t="s">
        <v>194</v>
      </c>
      <c r="I73" s="47">
        <v>8.9600000000000009</v>
      </c>
      <c r="J73" s="48" t="s">
        <v>194</v>
      </c>
      <c r="K73" s="36">
        <f>I73</f>
        <v>8.9600000000000009</v>
      </c>
      <c r="N73">
        <f t="shared" si="3"/>
        <v>8.9600000000000009</v>
      </c>
      <c r="O73">
        <f t="shared" si="4"/>
        <v>11.648000000000001</v>
      </c>
    </row>
    <row r="74" spans="1:15">
      <c r="A74" s="55" t="s">
        <v>196</v>
      </c>
      <c r="B74" s="5" t="s">
        <v>197</v>
      </c>
      <c r="C74" s="42">
        <v>1</v>
      </c>
      <c r="D74" s="42" t="s">
        <v>198</v>
      </c>
      <c r="E74" s="4" t="s">
        <v>199</v>
      </c>
      <c r="G74" s="37">
        <v>1</v>
      </c>
      <c r="H74" s="37" t="s">
        <v>200</v>
      </c>
      <c r="I74" s="45">
        <v>2.29</v>
      </c>
      <c r="J74" s="46" t="s">
        <v>198</v>
      </c>
      <c r="K74" s="16">
        <f>I74</f>
        <v>2.29</v>
      </c>
      <c r="N74">
        <f t="shared" si="3"/>
        <v>2.29</v>
      </c>
      <c r="O74">
        <f t="shared" si="4"/>
        <v>2.9770000000000003</v>
      </c>
    </row>
    <row r="75" spans="1:15">
      <c r="A75" s="55" t="s">
        <v>201</v>
      </c>
      <c r="B75" s="5" t="s">
        <v>202</v>
      </c>
      <c r="C75" s="42">
        <v>1</v>
      </c>
      <c r="D75" s="42" t="s">
        <v>198</v>
      </c>
      <c r="E75" s="4" t="s">
        <v>203</v>
      </c>
      <c r="G75" s="37">
        <v>1</v>
      </c>
      <c r="H75" s="37" t="s">
        <v>198</v>
      </c>
      <c r="I75" s="45">
        <v>2.99</v>
      </c>
      <c r="J75" s="46" t="s">
        <v>198</v>
      </c>
      <c r="K75" s="16">
        <f>I75</f>
        <v>2.99</v>
      </c>
      <c r="N75">
        <f t="shared" si="3"/>
        <v>2.99</v>
      </c>
      <c r="O75">
        <f t="shared" si="4"/>
        <v>3.8870000000000005</v>
      </c>
    </row>
    <row r="76" spans="1:15">
      <c r="A76" s="55" t="s">
        <v>204</v>
      </c>
      <c r="B76" s="5" t="s">
        <v>205</v>
      </c>
      <c r="C76" s="42">
        <v>5</v>
      </c>
      <c r="D76" s="42" t="s">
        <v>7</v>
      </c>
      <c r="E76" s="4"/>
      <c r="G76" s="37">
        <v>5</v>
      </c>
      <c r="H76" s="37" t="s">
        <v>7</v>
      </c>
      <c r="I76" s="45">
        <v>7.29</v>
      </c>
      <c r="J76" s="46" t="s">
        <v>206</v>
      </c>
      <c r="K76" s="16">
        <f>I76</f>
        <v>7.29</v>
      </c>
      <c r="N76">
        <f t="shared" si="3"/>
        <v>7.29</v>
      </c>
      <c r="O76">
        <f t="shared" si="4"/>
        <v>9.4770000000000003</v>
      </c>
    </row>
    <row r="77" spans="1:15">
      <c r="A77" s="55" t="s">
        <v>207</v>
      </c>
      <c r="B77" s="5" t="s">
        <v>208</v>
      </c>
      <c r="C77" s="42">
        <v>1</v>
      </c>
      <c r="D77" s="42" t="s">
        <v>194</v>
      </c>
      <c r="E77" s="4" t="s">
        <v>199</v>
      </c>
      <c r="G77" s="37">
        <v>1</v>
      </c>
      <c r="H77" s="37" t="s">
        <v>194</v>
      </c>
      <c r="I77" s="45">
        <v>2.29</v>
      </c>
      <c r="J77" s="46" t="s">
        <v>194</v>
      </c>
      <c r="K77" s="16">
        <f>I77</f>
        <v>2.29</v>
      </c>
      <c r="N77">
        <f t="shared" si="3"/>
        <v>2.29</v>
      </c>
      <c r="O77">
        <f t="shared" si="4"/>
        <v>2.9770000000000003</v>
      </c>
    </row>
    <row r="78" spans="1:15">
      <c r="A78" s="55" t="s">
        <v>209</v>
      </c>
      <c r="B78" s="5" t="s">
        <v>210</v>
      </c>
      <c r="C78" s="42">
        <v>1.5</v>
      </c>
      <c r="D78" s="42" t="s">
        <v>7</v>
      </c>
      <c r="E78" s="4"/>
      <c r="G78" s="37">
        <v>1.5</v>
      </c>
      <c r="H78" s="37" t="s">
        <v>7</v>
      </c>
      <c r="I78" s="45">
        <v>3.29</v>
      </c>
      <c r="J78" s="46" t="s">
        <v>158</v>
      </c>
      <c r="K78" s="16">
        <f>I78</f>
        <v>3.29</v>
      </c>
      <c r="N78">
        <f t="shared" si="3"/>
        <v>3.29</v>
      </c>
      <c r="O78">
        <f t="shared" si="4"/>
        <v>4.2770000000000001</v>
      </c>
    </row>
    <row r="79" spans="1:15">
      <c r="A79" s="56" t="s">
        <v>211</v>
      </c>
      <c r="B79" s="53" t="s">
        <v>212</v>
      </c>
      <c r="C79" s="43">
        <v>1</v>
      </c>
      <c r="D79" s="43" t="s">
        <v>7</v>
      </c>
      <c r="E79" s="27"/>
      <c r="G79" s="38">
        <v>1</v>
      </c>
      <c r="H79" s="38" t="s">
        <v>7</v>
      </c>
      <c r="I79" s="47">
        <v>8.49</v>
      </c>
      <c r="J79" s="48" t="s">
        <v>7</v>
      </c>
      <c r="K79" s="36">
        <f>I79</f>
        <v>8.49</v>
      </c>
      <c r="N79">
        <f t="shared" si="3"/>
        <v>8.49</v>
      </c>
      <c r="O79">
        <f t="shared" si="4"/>
        <v>11.037000000000001</v>
      </c>
    </row>
    <row r="80" spans="1:15">
      <c r="A80" s="57"/>
      <c r="B80" s="5" t="s">
        <v>213</v>
      </c>
      <c r="C80" s="42">
        <v>7</v>
      </c>
      <c r="D80" s="42" t="s">
        <v>102</v>
      </c>
      <c r="E80" s="4"/>
      <c r="G80" s="37">
        <v>4</v>
      </c>
      <c r="H80" s="37" t="s">
        <v>102</v>
      </c>
      <c r="I80" s="45">
        <v>2</v>
      </c>
      <c r="J80" s="45" t="s">
        <v>214</v>
      </c>
      <c r="K80" s="16">
        <f>I80*G80</f>
        <v>8</v>
      </c>
      <c r="N80">
        <f>K80</f>
        <v>8</v>
      </c>
      <c r="O80">
        <f>N80*1.8</f>
        <v>14.4</v>
      </c>
    </row>
    <row r="81" spans="1:15">
      <c r="A81" s="57"/>
      <c r="B81" s="5" t="s">
        <v>215</v>
      </c>
      <c r="C81" s="42">
        <v>20</v>
      </c>
      <c r="D81" s="42" t="s">
        <v>102</v>
      </c>
      <c r="E81" s="4"/>
      <c r="G81" s="37">
        <v>20</v>
      </c>
      <c r="H81" s="37" t="s">
        <v>102</v>
      </c>
      <c r="I81" s="45">
        <v>0.6</v>
      </c>
      <c r="J81" s="45" t="s">
        <v>214</v>
      </c>
      <c r="K81" s="16">
        <f>I81*G81</f>
        <v>12</v>
      </c>
      <c r="N81">
        <f t="shared" si="3"/>
        <v>12</v>
      </c>
      <c r="O81">
        <f>G81*2.9</f>
        <v>58</v>
      </c>
    </row>
    <row r="82" spans="1:15">
      <c r="A82" s="88">
        <v>979394</v>
      </c>
      <c r="B82" s="16" t="s">
        <v>216</v>
      </c>
      <c r="C82" s="16">
        <v>2</v>
      </c>
      <c r="D82" s="16" t="s">
        <v>217</v>
      </c>
      <c r="E82" s="16"/>
      <c r="G82" s="16">
        <v>2</v>
      </c>
      <c r="H82" s="16" t="s">
        <v>217</v>
      </c>
      <c r="I82" s="16">
        <v>3.99</v>
      </c>
      <c r="J82" s="16" t="s">
        <v>217</v>
      </c>
      <c r="K82" s="16">
        <f>I82*G82</f>
        <v>7.98</v>
      </c>
      <c r="N82">
        <f>K82</f>
        <v>7.98</v>
      </c>
      <c r="O82">
        <f t="shared" si="4"/>
        <v>10.374000000000001</v>
      </c>
    </row>
    <row r="83" spans="1:15">
      <c r="A83" s="88"/>
      <c r="B83" s="16" t="s">
        <v>215</v>
      </c>
      <c r="C83" s="16">
        <v>10</v>
      </c>
      <c r="D83" s="16" t="s">
        <v>102</v>
      </c>
      <c r="E83" s="16"/>
      <c r="G83" s="16">
        <v>10</v>
      </c>
      <c r="H83" s="16" t="s">
        <v>102</v>
      </c>
      <c r="I83" s="16">
        <v>0.6</v>
      </c>
      <c r="J83" s="16" t="s">
        <v>214</v>
      </c>
      <c r="K83" s="16">
        <f>I83*G83</f>
        <v>6</v>
      </c>
      <c r="N83">
        <f t="shared" ref="N83:N102" si="5">K83</f>
        <v>6</v>
      </c>
      <c r="O83">
        <f>G83*2.9</f>
        <v>29</v>
      </c>
    </row>
    <row r="84" spans="1:15">
      <c r="A84" s="89">
        <v>65730</v>
      </c>
      <c r="B84" s="90" t="s">
        <v>218</v>
      </c>
      <c r="C84" s="16">
        <v>1</v>
      </c>
      <c r="D84" s="16" t="s">
        <v>7</v>
      </c>
      <c r="E84" s="16"/>
      <c r="G84" s="16">
        <v>1</v>
      </c>
      <c r="H84" s="16" t="s">
        <v>7</v>
      </c>
      <c r="I84" s="16">
        <v>3.94</v>
      </c>
      <c r="J84" s="16" t="s">
        <v>7</v>
      </c>
      <c r="K84" s="16">
        <f>I84*G84</f>
        <v>3.94</v>
      </c>
      <c r="N84">
        <f t="shared" si="5"/>
        <v>3.94</v>
      </c>
      <c r="O84">
        <f t="shared" si="4"/>
        <v>5.1219999999999999</v>
      </c>
    </row>
    <row r="85" spans="1:15">
      <c r="A85" s="88" t="s">
        <v>182</v>
      </c>
      <c r="B85" s="90" t="s">
        <v>219</v>
      </c>
      <c r="C85" s="16">
        <v>1</v>
      </c>
      <c r="D85" s="16" t="s">
        <v>217</v>
      </c>
      <c r="E85" s="16"/>
      <c r="G85" s="16">
        <v>1</v>
      </c>
      <c r="H85" s="16" t="s">
        <v>217</v>
      </c>
      <c r="I85" s="16">
        <v>4.99</v>
      </c>
      <c r="J85" s="16" t="s">
        <v>217</v>
      </c>
      <c r="K85" s="16">
        <f>I85*G85</f>
        <v>4.99</v>
      </c>
      <c r="N85">
        <f t="shared" si="5"/>
        <v>4.99</v>
      </c>
      <c r="O85">
        <f>10*2.9</f>
        <v>29</v>
      </c>
    </row>
    <row r="86" spans="1:15">
      <c r="A86" s="88" t="s">
        <v>220</v>
      </c>
      <c r="B86" s="90" t="s">
        <v>221</v>
      </c>
      <c r="C86" s="16">
        <v>1</v>
      </c>
      <c r="D86" s="16" t="s">
        <v>217</v>
      </c>
      <c r="E86" s="16"/>
      <c r="G86" s="16">
        <v>1</v>
      </c>
      <c r="H86" s="16" t="s">
        <v>217</v>
      </c>
      <c r="I86" s="16">
        <v>13.99</v>
      </c>
      <c r="J86" s="16" t="s">
        <v>217</v>
      </c>
      <c r="K86" s="16">
        <f>I86*G86</f>
        <v>13.99</v>
      </c>
      <c r="N86">
        <f t="shared" si="5"/>
        <v>13.99</v>
      </c>
      <c r="O86">
        <f t="shared" si="4"/>
        <v>18.187000000000001</v>
      </c>
    </row>
    <row r="87" spans="1:15">
      <c r="A87" s="88" t="s">
        <v>222</v>
      </c>
      <c r="B87" s="90" t="s">
        <v>223</v>
      </c>
      <c r="C87" s="16">
        <v>1</v>
      </c>
      <c r="D87" s="16" t="s">
        <v>217</v>
      </c>
      <c r="E87" s="16"/>
      <c r="G87" s="16">
        <v>1</v>
      </c>
      <c r="H87" s="16" t="s">
        <v>217</v>
      </c>
      <c r="I87" s="16">
        <v>6.79</v>
      </c>
      <c r="J87" s="16" t="s">
        <v>217</v>
      </c>
      <c r="K87" s="16">
        <f>I87*G87</f>
        <v>6.79</v>
      </c>
      <c r="N87">
        <f t="shared" si="5"/>
        <v>6.79</v>
      </c>
      <c r="O87">
        <f t="shared" si="4"/>
        <v>8.827</v>
      </c>
    </row>
    <row r="88" spans="1:15">
      <c r="A88" s="88" t="s">
        <v>224</v>
      </c>
      <c r="B88" s="90" t="s">
        <v>225</v>
      </c>
      <c r="C88" s="16">
        <v>1</v>
      </c>
      <c r="D88" s="16" t="s">
        <v>217</v>
      </c>
      <c r="E88" s="16"/>
      <c r="G88" s="16">
        <v>1</v>
      </c>
      <c r="H88" s="16" t="s">
        <v>217</v>
      </c>
      <c r="I88" s="16">
        <v>6.79</v>
      </c>
      <c r="J88" s="16" t="s">
        <v>217</v>
      </c>
      <c r="K88" s="16">
        <f>I88*G88</f>
        <v>6.79</v>
      </c>
      <c r="N88">
        <f t="shared" si="5"/>
        <v>6.79</v>
      </c>
      <c r="O88">
        <f t="shared" si="4"/>
        <v>8.827</v>
      </c>
    </row>
    <row r="89" spans="1:15">
      <c r="A89" s="88" t="s">
        <v>226</v>
      </c>
      <c r="B89" s="90" t="s">
        <v>227</v>
      </c>
      <c r="C89" s="16">
        <v>2</v>
      </c>
      <c r="D89" s="16" t="s">
        <v>217</v>
      </c>
      <c r="E89" s="16"/>
      <c r="G89" s="16">
        <v>2</v>
      </c>
      <c r="H89" s="16" t="s">
        <v>217</v>
      </c>
      <c r="I89" s="16">
        <v>8.7899999999999991</v>
      </c>
      <c r="J89" s="16" t="s">
        <v>217</v>
      </c>
      <c r="K89" s="16">
        <f>I89*G89</f>
        <v>17.579999999999998</v>
      </c>
      <c r="N89">
        <f t="shared" si="5"/>
        <v>17.579999999999998</v>
      </c>
      <c r="O89">
        <f t="shared" si="4"/>
        <v>22.853999999999999</v>
      </c>
    </row>
    <row r="90" spans="1:15">
      <c r="A90" s="88" t="s">
        <v>228</v>
      </c>
      <c r="B90" s="90" t="s">
        <v>229</v>
      </c>
      <c r="C90" s="16">
        <v>24</v>
      </c>
      <c r="D90" s="16" t="s">
        <v>217</v>
      </c>
      <c r="E90" s="16"/>
      <c r="G90" s="16">
        <v>24</v>
      </c>
      <c r="H90" s="16" t="s">
        <v>217</v>
      </c>
      <c r="I90" s="16">
        <v>1.62</v>
      </c>
      <c r="J90" s="16" t="s">
        <v>217</v>
      </c>
      <c r="K90" s="16">
        <f>I90*G90</f>
        <v>38.880000000000003</v>
      </c>
      <c r="N90">
        <f t="shared" si="5"/>
        <v>38.880000000000003</v>
      </c>
      <c r="O90">
        <f t="shared" si="4"/>
        <v>50.544000000000004</v>
      </c>
    </row>
    <row r="91" spans="1:15">
      <c r="A91" s="88" t="s">
        <v>230</v>
      </c>
      <c r="B91" s="91" t="s">
        <v>231</v>
      </c>
      <c r="C91" s="16">
        <v>1</v>
      </c>
      <c r="D91" s="16" t="s">
        <v>217</v>
      </c>
      <c r="E91" s="16" t="s">
        <v>232</v>
      </c>
      <c r="G91" s="16">
        <v>1</v>
      </c>
      <c r="H91" s="16" t="s">
        <v>217</v>
      </c>
      <c r="I91" s="16">
        <v>3.29</v>
      </c>
      <c r="J91" s="16" t="s">
        <v>217</v>
      </c>
      <c r="K91" s="16">
        <f>I91*G91</f>
        <v>3.29</v>
      </c>
      <c r="N91">
        <f t="shared" si="5"/>
        <v>3.29</v>
      </c>
      <c r="O91">
        <f t="shared" si="4"/>
        <v>4.2770000000000001</v>
      </c>
    </row>
    <row r="92" spans="1:15">
      <c r="A92" s="88" t="s">
        <v>233</v>
      </c>
      <c r="B92" s="90" t="s">
        <v>234</v>
      </c>
      <c r="C92" s="16">
        <v>1</v>
      </c>
      <c r="D92" s="16" t="s">
        <v>217</v>
      </c>
      <c r="E92" s="16" t="s">
        <v>235</v>
      </c>
      <c r="G92" s="16">
        <v>1</v>
      </c>
      <c r="H92" s="16" t="s">
        <v>217</v>
      </c>
      <c r="I92" s="16">
        <v>1.59</v>
      </c>
      <c r="J92" s="16" t="s">
        <v>217</v>
      </c>
      <c r="K92" s="16">
        <f>I92*G92</f>
        <v>1.59</v>
      </c>
      <c r="N92">
        <f t="shared" si="5"/>
        <v>1.59</v>
      </c>
      <c r="O92">
        <f t="shared" si="4"/>
        <v>2.0670000000000002</v>
      </c>
    </row>
    <row r="93" spans="1:15">
      <c r="A93" s="92" t="s">
        <v>236</v>
      </c>
      <c r="B93" s="93" t="s">
        <v>237</v>
      </c>
      <c r="C93" s="36">
        <v>1</v>
      </c>
      <c r="D93" s="36" t="s">
        <v>217</v>
      </c>
      <c r="E93" s="36" t="s">
        <v>238</v>
      </c>
      <c r="G93" s="16">
        <v>1</v>
      </c>
      <c r="H93" s="36" t="s">
        <v>217</v>
      </c>
      <c r="I93" s="36">
        <v>1.69</v>
      </c>
      <c r="J93" s="36" t="s">
        <v>217</v>
      </c>
      <c r="K93" s="16">
        <f>I93*G93</f>
        <v>1.69</v>
      </c>
      <c r="N93">
        <f t="shared" si="5"/>
        <v>1.69</v>
      </c>
      <c r="O93">
        <f t="shared" si="4"/>
        <v>2.1970000000000001</v>
      </c>
    </row>
    <row r="94" spans="1:15" ht="19.5">
      <c r="A94" s="94" t="s">
        <v>239</v>
      </c>
      <c r="B94" s="95" t="s">
        <v>240</v>
      </c>
      <c r="C94" s="16">
        <v>3</v>
      </c>
      <c r="D94" s="16" t="s">
        <v>217</v>
      </c>
      <c r="E94" s="16"/>
      <c r="G94" s="16">
        <v>3</v>
      </c>
      <c r="H94" s="16" t="s">
        <v>217</v>
      </c>
      <c r="I94" s="16">
        <v>4.3899999999999997</v>
      </c>
      <c r="J94" s="16" t="s">
        <v>217</v>
      </c>
      <c r="K94" s="16">
        <f>I94*G94</f>
        <v>13.169999999999998</v>
      </c>
      <c r="N94">
        <f t="shared" si="5"/>
        <v>13.169999999999998</v>
      </c>
      <c r="O94">
        <f t="shared" si="4"/>
        <v>17.120999999999999</v>
      </c>
    </row>
    <row r="95" spans="1:15" ht="19.5">
      <c r="A95" s="94" t="s">
        <v>241</v>
      </c>
      <c r="B95" s="95" t="s">
        <v>242</v>
      </c>
      <c r="C95" s="16">
        <v>1</v>
      </c>
      <c r="D95" s="16" t="s">
        <v>217</v>
      </c>
      <c r="E95" s="16"/>
      <c r="G95" s="16">
        <v>1</v>
      </c>
      <c r="H95" s="16" t="s">
        <v>217</v>
      </c>
      <c r="I95" s="16">
        <v>2.85</v>
      </c>
      <c r="J95" s="16" t="s">
        <v>217</v>
      </c>
      <c r="K95" s="16">
        <f>I95*G95</f>
        <v>2.85</v>
      </c>
      <c r="N95">
        <f t="shared" si="5"/>
        <v>2.85</v>
      </c>
      <c r="O95">
        <f t="shared" si="4"/>
        <v>3.7050000000000001</v>
      </c>
    </row>
    <row r="96" spans="1:15" ht="19.5">
      <c r="A96" s="94" t="s">
        <v>243</v>
      </c>
      <c r="B96" s="95" t="s">
        <v>244</v>
      </c>
      <c r="C96" s="16">
        <v>5</v>
      </c>
      <c r="D96" s="16" t="s">
        <v>7</v>
      </c>
      <c r="E96" s="16"/>
      <c r="G96" s="16">
        <v>5</v>
      </c>
      <c r="H96" s="16" t="s">
        <v>7</v>
      </c>
      <c r="I96" s="16">
        <v>1.64</v>
      </c>
      <c r="J96" s="16" t="s">
        <v>7</v>
      </c>
      <c r="K96" s="16">
        <f>I96*G96</f>
        <v>8.1999999999999993</v>
      </c>
      <c r="N96">
        <f t="shared" si="5"/>
        <v>8.1999999999999993</v>
      </c>
      <c r="O96">
        <f t="shared" si="4"/>
        <v>10.66</v>
      </c>
    </row>
    <row r="97" spans="1:15" ht="19.5">
      <c r="A97" s="94" t="s">
        <v>245</v>
      </c>
      <c r="B97" s="95" t="s">
        <v>246</v>
      </c>
      <c r="C97" s="16">
        <v>1</v>
      </c>
      <c r="D97" s="16" t="s">
        <v>217</v>
      </c>
      <c r="E97" s="16"/>
      <c r="G97" s="16">
        <v>1</v>
      </c>
      <c r="H97" s="16" t="s">
        <v>217</v>
      </c>
      <c r="I97" s="16">
        <v>3.73</v>
      </c>
      <c r="J97" s="16" t="s">
        <v>217</v>
      </c>
      <c r="K97" s="16">
        <f>I97*G97</f>
        <v>3.73</v>
      </c>
      <c r="N97">
        <f t="shared" si="5"/>
        <v>3.73</v>
      </c>
      <c r="O97">
        <f t="shared" si="4"/>
        <v>4.8490000000000002</v>
      </c>
    </row>
    <row r="98" spans="1:15" ht="19.5">
      <c r="A98" s="94">
        <v>278612</v>
      </c>
      <c r="B98" s="95" t="s">
        <v>247</v>
      </c>
      <c r="C98" s="16">
        <v>12</v>
      </c>
      <c r="D98" s="16" t="s">
        <v>217</v>
      </c>
      <c r="E98" s="16" t="s">
        <v>248</v>
      </c>
      <c r="G98" s="16">
        <v>12</v>
      </c>
      <c r="H98" s="16" t="s">
        <v>217</v>
      </c>
      <c r="I98" s="16">
        <v>2.12</v>
      </c>
      <c r="J98" s="16" t="s">
        <v>217</v>
      </c>
      <c r="K98" s="16">
        <f>I98*G98</f>
        <v>25.44</v>
      </c>
      <c r="N98">
        <f t="shared" si="5"/>
        <v>25.44</v>
      </c>
      <c r="O98">
        <f t="shared" si="4"/>
        <v>33.072000000000003</v>
      </c>
    </row>
    <row r="99" spans="1:15" ht="19.5">
      <c r="A99" s="94">
        <v>286913</v>
      </c>
      <c r="B99" s="95" t="s">
        <v>249</v>
      </c>
      <c r="C99" s="16">
        <v>1</v>
      </c>
      <c r="D99" s="16" t="s">
        <v>217</v>
      </c>
      <c r="E99" s="16" t="s">
        <v>248</v>
      </c>
      <c r="G99" s="16">
        <v>1</v>
      </c>
      <c r="H99" s="16" t="s">
        <v>217</v>
      </c>
      <c r="I99" s="16">
        <v>1.98</v>
      </c>
      <c r="J99" s="16" t="s">
        <v>217</v>
      </c>
      <c r="K99" s="16">
        <f>I99*G99</f>
        <v>1.98</v>
      </c>
      <c r="N99">
        <f t="shared" si="5"/>
        <v>1.98</v>
      </c>
      <c r="O99">
        <f t="shared" si="4"/>
        <v>2.5739999999999998</v>
      </c>
    </row>
    <row r="100" spans="1:15" ht="19.5">
      <c r="A100" s="94">
        <v>988599</v>
      </c>
      <c r="B100" s="95" t="s">
        <v>250</v>
      </c>
      <c r="C100" s="16">
        <v>6</v>
      </c>
      <c r="D100" s="16" t="s">
        <v>217</v>
      </c>
      <c r="E100" s="16" t="s">
        <v>248</v>
      </c>
      <c r="G100" s="16">
        <v>6</v>
      </c>
      <c r="H100" s="16" t="s">
        <v>217</v>
      </c>
      <c r="I100" s="16">
        <v>2.4</v>
      </c>
      <c r="J100" s="16" t="s">
        <v>217</v>
      </c>
      <c r="K100" s="16">
        <f>I100*G100</f>
        <v>14.399999999999999</v>
      </c>
      <c r="N100">
        <f t="shared" si="5"/>
        <v>14.399999999999999</v>
      </c>
      <c r="O100">
        <f t="shared" si="4"/>
        <v>18.72</v>
      </c>
    </row>
    <row r="101" spans="1:15" ht="19.5">
      <c r="A101" s="94"/>
      <c r="B101" s="95" t="s">
        <v>251</v>
      </c>
      <c r="C101" s="16">
        <v>1</v>
      </c>
      <c r="D101" s="16" t="s">
        <v>217</v>
      </c>
      <c r="E101" s="16"/>
      <c r="G101" s="16">
        <v>1</v>
      </c>
      <c r="H101" s="16" t="s">
        <v>217</v>
      </c>
      <c r="I101" s="16">
        <v>3</v>
      </c>
      <c r="J101" s="16" t="s">
        <v>217</v>
      </c>
      <c r="K101" s="16">
        <f>I101*G101</f>
        <v>3</v>
      </c>
      <c r="N101">
        <f t="shared" si="5"/>
        <v>3</v>
      </c>
      <c r="O101">
        <f t="shared" si="4"/>
        <v>3.9000000000000004</v>
      </c>
    </row>
    <row r="102" spans="1:15" ht="21">
      <c r="A102" s="75">
        <v>979394</v>
      </c>
      <c r="B102" s="76" t="s">
        <v>252</v>
      </c>
      <c r="C102" s="77">
        <v>24</v>
      </c>
      <c r="D102" s="77" t="s">
        <v>217</v>
      </c>
      <c r="E102" s="76"/>
      <c r="G102" s="78">
        <v>24</v>
      </c>
      <c r="H102" s="78" t="s">
        <v>217</v>
      </c>
      <c r="I102" s="79">
        <v>2.12</v>
      </c>
      <c r="J102" s="79" t="s">
        <v>217</v>
      </c>
      <c r="K102" s="80">
        <f>I102*G102</f>
        <v>50.88</v>
      </c>
      <c r="N102">
        <f t="shared" si="5"/>
        <v>50.88</v>
      </c>
      <c r="O102">
        <f t="shared" si="4"/>
        <v>66.144000000000005</v>
      </c>
    </row>
    <row r="103" spans="1:15">
      <c r="O103">
        <v>49</v>
      </c>
    </row>
    <row r="104" spans="1:15">
      <c r="O104">
        <f>O103*4</f>
        <v>196</v>
      </c>
    </row>
  </sheetData>
  <hyperlinks>
    <hyperlink ref="B94" r:id="rId1" xr:uid="{886FC7CD-1A94-42D1-8AC8-5BD6F821B885}"/>
    <hyperlink ref="B95" r:id="rId2" xr:uid="{74D66984-CBE4-4EB8-BE7E-2DCDCD552D83}"/>
    <hyperlink ref="B97" r:id="rId3" xr:uid="{19200181-7C12-4FA3-8ED5-D57750F333EA}"/>
    <hyperlink ref="B98" r:id="rId4" xr:uid="{A45C693A-FC9A-4B94-B962-EA17F801B1C4}"/>
    <hyperlink ref="B96" r:id="rId5" xr:uid="{5D22869B-22CE-4815-84D4-F398EC0B4B95}"/>
    <hyperlink ref="B99" r:id="rId6" xr:uid="{C6DB0026-D663-4338-84A0-DEAA3B91A195}"/>
    <hyperlink ref="B100" r:id="rId7" xr:uid="{05FF85D4-63DC-44A1-854B-FF6C4DE186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6B4B-8B8D-49F9-B260-558CAF73B8B9}">
  <dimension ref="A1:M53"/>
  <sheetViews>
    <sheetView topLeftCell="A25" workbookViewId="0">
      <selection activeCell="K42" sqref="K42"/>
    </sheetView>
  </sheetViews>
  <sheetFormatPr defaultRowHeight="15"/>
  <cols>
    <col min="1" max="1" width="45" customWidth="1"/>
    <col min="2" max="2" width="0" hidden="1" customWidth="1"/>
    <col min="6" max="6" width="30.7109375" bestFit="1" customWidth="1"/>
    <col min="7" max="7" width="16.28515625" customWidth="1"/>
    <col min="12" max="12" width="11.5703125" bestFit="1" customWidth="1"/>
    <col min="13" max="13" width="17.42578125" customWidth="1"/>
  </cols>
  <sheetData>
    <row r="1" spans="1:13" ht="15.75">
      <c r="A1" s="58" t="s">
        <v>93</v>
      </c>
      <c r="B1" s="59">
        <v>16.02</v>
      </c>
      <c r="C1" s="60"/>
      <c r="D1" s="58" t="s">
        <v>94</v>
      </c>
      <c r="E1" s="58" t="s">
        <v>95</v>
      </c>
      <c r="F1" s="58" t="s">
        <v>96</v>
      </c>
      <c r="G1" s="58" t="s">
        <v>97</v>
      </c>
      <c r="H1" s="58" t="s">
        <v>98</v>
      </c>
      <c r="I1" s="58" t="s">
        <v>99</v>
      </c>
      <c r="J1" s="58" t="s">
        <v>98</v>
      </c>
      <c r="K1" s="58" t="s">
        <v>100</v>
      </c>
      <c r="L1" s="58" t="s">
        <v>92</v>
      </c>
      <c r="M1" s="59" t="s">
        <v>253</v>
      </c>
    </row>
    <row r="2" spans="1:13">
      <c r="A2" s="17" t="s">
        <v>6</v>
      </c>
      <c r="B2" s="16">
        <v>4.5</v>
      </c>
      <c r="C2" s="22"/>
      <c r="D2" s="4">
        <v>5</v>
      </c>
      <c r="E2" s="4" t="s">
        <v>7</v>
      </c>
      <c r="F2" s="4" t="s">
        <v>101</v>
      </c>
      <c r="G2" s="4">
        <v>47</v>
      </c>
      <c r="H2" s="4" t="s">
        <v>102</v>
      </c>
      <c r="I2" s="26">
        <v>1.62</v>
      </c>
      <c r="J2" s="6" t="s">
        <v>7</v>
      </c>
      <c r="K2" s="6"/>
      <c r="L2" s="4">
        <v>31477</v>
      </c>
      <c r="M2" s="4"/>
    </row>
    <row r="3" spans="1:13">
      <c r="A3" s="17" t="s">
        <v>9</v>
      </c>
      <c r="B3" s="16">
        <v>4.5</v>
      </c>
      <c r="C3" s="22"/>
      <c r="D3" s="4">
        <v>5</v>
      </c>
      <c r="E3" s="4" t="s">
        <v>7</v>
      </c>
      <c r="F3" s="4" t="s">
        <v>101</v>
      </c>
      <c r="G3" s="4">
        <v>30</v>
      </c>
      <c r="H3" s="4" t="s">
        <v>102</v>
      </c>
      <c r="I3" s="4">
        <v>2.19</v>
      </c>
      <c r="J3" s="4" t="s">
        <v>7</v>
      </c>
      <c r="K3" s="4"/>
      <c r="L3" s="4">
        <v>280062</v>
      </c>
      <c r="M3" s="4"/>
    </row>
    <row r="4" spans="1:13">
      <c r="A4" s="18" t="s">
        <v>103</v>
      </c>
      <c r="B4" s="16">
        <v>4.5</v>
      </c>
      <c r="C4" s="22"/>
      <c r="D4" s="4">
        <v>3</v>
      </c>
      <c r="E4" s="4" t="s">
        <v>7</v>
      </c>
      <c r="F4" s="4"/>
      <c r="G4" s="4">
        <v>3</v>
      </c>
      <c r="H4" s="4" t="s">
        <v>7</v>
      </c>
      <c r="I4" s="4">
        <v>1.97</v>
      </c>
      <c r="J4" s="4" t="s">
        <v>104</v>
      </c>
      <c r="K4" s="4"/>
      <c r="L4" s="4">
        <v>265730</v>
      </c>
      <c r="M4" s="4">
        <v>0.5</v>
      </c>
    </row>
    <row r="5" spans="1:13">
      <c r="A5" s="18" t="s">
        <v>105</v>
      </c>
      <c r="B5" s="16"/>
      <c r="C5" s="22"/>
      <c r="D5" s="4">
        <v>3</v>
      </c>
      <c r="E5" s="4" t="s">
        <v>7</v>
      </c>
      <c r="F5" s="4"/>
      <c r="G5" s="4">
        <v>3</v>
      </c>
      <c r="H5" s="4" t="s">
        <v>7</v>
      </c>
      <c r="I5" s="4">
        <v>1.97</v>
      </c>
      <c r="J5" s="4" t="s">
        <v>104</v>
      </c>
      <c r="K5" s="4"/>
      <c r="L5" s="4">
        <v>266071</v>
      </c>
      <c r="M5" s="4">
        <v>0.5</v>
      </c>
    </row>
    <row r="6" spans="1:13">
      <c r="A6" s="18" t="s">
        <v>106</v>
      </c>
      <c r="B6" s="16"/>
      <c r="C6" s="22"/>
      <c r="D6" s="4">
        <v>0.5</v>
      </c>
      <c r="E6" s="4" t="s">
        <v>7</v>
      </c>
      <c r="F6" s="4"/>
      <c r="G6" s="4">
        <v>0.5</v>
      </c>
      <c r="H6" s="4" t="s">
        <v>7</v>
      </c>
      <c r="I6" s="4">
        <v>4.3899999999999997</v>
      </c>
      <c r="J6" s="4" t="s">
        <v>104</v>
      </c>
      <c r="K6" s="4"/>
      <c r="L6" s="4">
        <v>2246</v>
      </c>
      <c r="M6" s="4"/>
    </row>
    <row r="7" spans="1:13">
      <c r="A7" s="18" t="s">
        <v>107</v>
      </c>
      <c r="B7" s="16"/>
      <c r="C7" s="22"/>
      <c r="D7" s="4">
        <v>1</v>
      </c>
      <c r="E7" s="4" t="s">
        <v>7</v>
      </c>
      <c r="F7" s="4"/>
      <c r="G7" s="4">
        <v>1</v>
      </c>
      <c r="H7" s="4" t="s">
        <v>7</v>
      </c>
      <c r="I7" s="4">
        <v>4.17</v>
      </c>
      <c r="J7" s="4" t="s">
        <v>104</v>
      </c>
      <c r="K7" s="4"/>
      <c r="L7" s="4">
        <v>264280</v>
      </c>
      <c r="M7" s="4"/>
    </row>
    <row r="8" spans="1:13">
      <c r="A8" s="18" t="s">
        <v>254</v>
      </c>
      <c r="B8" s="16"/>
      <c r="C8" s="22"/>
      <c r="D8" s="4">
        <f>0.125*3</f>
        <v>0.375</v>
      </c>
      <c r="E8" s="4" t="s">
        <v>7</v>
      </c>
      <c r="F8" s="4"/>
      <c r="G8" s="4">
        <f>0.125*3</f>
        <v>0.375</v>
      </c>
      <c r="H8" s="4" t="s">
        <v>7</v>
      </c>
      <c r="I8" s="4"/>
      <c r="J8" s="4"/>
      <c r="K8" s="4"/>
      <c r="L8" s="4"/>
      <c r="M8" s="4"/>
    </row>
    <row r="9" spans="1:13">
      <c r="A9" s="17" t="s">
        <v>108</v>
      </c>
      <c r="B9" s="16">
        <v>1</v>
      </c>
      <c r="C9" s="22"/>
      <c r="D9" s="4">
        <f>0.125*3</f>
        <v>0.375</v>
      </c>
      <c r="E9" s="4" t="s">
        <v>7</v>
      </c>
      <c r="F9" s="4"/>
      <c r="G9" s="4">
        <f>0.125*3</f>
        <v>0.375</v>
      </c>
      <c r="H9" s="4" t="s">
        <v>7</v>
      </c>
      <c r="I9" s="4">
        <v>3.07</v>
      </c>
      <c r="J9" s="4" t="s">
        <v>109</v>
      </c>
      <c r="K9" s="4"/>
      <c r="L9" s="4">
        <v>10146</v>
      </c>
      <c r="M9" s="4"/>
    </row>
    <row r="10" spans="1:13">
      <c r="A10" s="18" t="s">
        <v>12</v>
      </c>
      <c r="B10" s="16">
        <v>0.75</v>
      </c>
      <c r="C10" s="22"/>
      <c r="D10" s="4">
        <v>6</v>
      </c>
      <c r="E10" s="4" t="s">
        <v>7</v>
      </c>
      <c r="F10" s="4" t="s">
        <v>101</v>
      </c>
      <c r="G10" s="4">
        <v>24</v>
      </c>
      <c r="H10" s="4" t="s">
        <v>102</v>
      </c>
      <c r="I10" s="4">
        <v>1.57</v>
      </c>
      <c r="J10" s="4" t="s">
        <v>110</v>
      </c>
      <c r="K10" s="4"/>
      <c r="L10" s="4">
        <v>211702</v>
      </c>
      <c r="M10" s="4">
        <v>3</v>
      </c>
    </row>
    <row r="11" spans="1:13">
      <c r="A11" s="5" t="s">
        <v>111</v>
      </c>
      <c r="B11" s="16"/>
      <c r="C11" s="22"/>
      <c r="D11" s="4">
        <v>1</v>
      </c>
      <c r="E11" s="4" t="s">
        <v>7</v>
      </c>
      <c r="F11" s="4" t="s">
        <v>112</v>
      </c>
      <c r="G11" s="4">
        <v>1</v>
      </c>
      <c r="H11" s="4" t="s">
        <v>7</v>
      </c>
      <c r="I11" s="4">
        <v>7.77</v>
      </c>
      <c r="J11" s="4" t="s">
        <v>104</v>
      </c>
      <c r="K11" s="4"/>
      <c r="L11" s="4">
        <v>970353</v>
      </c>
      <c r="M11" s="4"/>
    </row>
    <row r="12" spans="1:13">
      <c r="A12" s="5" t="s">
        <v>113</v>
      </c>
      <c r="B12" s="16"/>
      <c r="C12" s="22"/>
      <c r="D12" s="4">
        <v>1</v>
      </c>
      <c r="E12" s="4" t="s">
        <v>7</v>
      </c>
      <c r="F12" s="4" t="s">
        <v>112</v>
      </c>
      <c r="G12" s="4">
        <v>1</v>
      </c>
      <c r="H12" s="4" t="s">
        <v>7</v>
      </c>
      <c r="I12" s="4">
        <v>9.34</v>
      </c>
      <c r="J12" s="4" t="s">
        <v>7</v>
      </c>
      <c r="K12" s="4"/>
      <c r="L12" s="4">
        <v>327897</v>
      </c>
      <c r="M12" s="4"/>
    </row>
    <row r="13" spans="1:13">
      <c r="A13" s="5" t="s">
        <v>21</v>
      </c>
      <c r="B13" s="16">
        <v>0.75</v>
      </c>
      <c r="C13" s="22"/>
      <c r="D13" s="4">
        <v>1</v>
      </c>
      <c r="E13" s="4" t="s">
        <v>7</v>
      </c>
      <c r="F13" s="4" t="s">
        <v>112</v>
      </c>
      <c r="G13" s="4">
        <v>1</v>
      </c>
      <c r="H13" s="4" t="s">
        <v>7</v>
      </c>
      <c r="I13" s="4">
        <v>12.5</v>
      </c>
      <c r="J13" s="4" t="s">
        <v>110</v>
      </c>
      <c r="K13" s="4"/>
      <c r="L13" s="4">
        <v>965341</v>
      </c>
      <c r="M13" s="4"/>
    </row>
    <row r="14" spans="1:13">
      <c r="A14" s="5" t="s">
        <v>23</v>
      </c>
      <c r="B14" s="16">
        <v>0.625</v>
      </c>
      <c r="C14" s="22"/>
      <c r="D14" s="4">
        <v>1</v>
      </c>
      <c r="E14" s="4" t="s">
        <v>7</v>
      </c>
      <c r="F14" s="4" t="s">
        <v>112</v>
      </c>
      <c r="G14" s="4">
        <v>1</v>
      </c>
      <c r="H14" s="4" t="s">
        <v>7</v>
      </c>
      <c r="I14" s="4">
        <v>8.7899999999999991</v>
      </c>
      <c r="J14" s="4" t="s">
        <v>104</v>
      </c>
      <c r="K14" s="4"/>
      <c r="L14" s="4">
        <v>19986</v>
      </c>
      <c r="M14" s="4"/>
    </row>
    <row r="15" spans="1:13">
      <c r="A15" s="5" t="s">
        <v>114</v>
      </c>
      <c r="B15" s="16"/>
      <c r="C15" s="22"/>
      <c r="D15" s="4">
        <v>1</v>
      </c>
      <c r="E15" s="4" t="s">
        <v>7</v>
      </c>
      <c r="F15" s="4" t="s">
        <v>112</v>
      </c>
      <c r="G15" s="4">
        <v>1</v>
      </c>
      <c r="H15" s="4" t="s">
        <v>7</v>
      </c>
      <c r="I15" s="4">
        <v>13.19</v>
      </c>
      <c r="J15" s="4" t="s">
        <v>7</v>
      </c>
      <c r="K15" s="4"/>
      <c r="L15" s="4">
        <v>21100</v>
      </c>
      <c r="M15" s="4">
        <v>0.6</v>
      </c>
    </row>
    <row r="16" spans="1:13">
      <c r="A16" s="5" t="s">
        <v>115</v>
      </c>
      <c r="B16" s="16"/>
      <c r="C16" s="22"/>
      <c r="D16" s="4">
        <v>1</v>
      </c>
      <c r="E16" s="4" t="s">
        <v>7</v>
      </c>
      <c r="F16" s="4" t="s">
        <v>112</v>
      </c>
      <c r="G16" s="4">
        <v>1</v>
      </c>
      <c r="H16" s="4" t="s">
        <v>7</v>
      </c>
      <c r="I16" s="4">
        <v>9.89</v>
      </c>
      <c r="J16" s="4" t="s">
        <v>7</v>
      </c>
      <c r="K16" s="4"/>
      <c r="L16" s="4">
        <v>17319</v>
      </c>
      <c r="M16" s="4">
        <v>0.5</v>
      </c>
    </row>
    <row r="17" spans="1:13">
      <c r="A17" s="5" t="s">
        <v>116</v>
      </c>
      <c r="B17" s="16"/>
      <c r="C17" s="22"/>
      <c r="D17" s="4">
        <v>1</v>
      </c>
      <c r="E17" s="4" t="s">
        <v>7</v>
      </c>
      <c r="F17" s="4" t="s">
        <v>112</v>
      </c>
      <c r="G17" s="4">
        <v>1</v>
      </c>
      <c r="H17" s="4" t="s">
        <v>7</v>
      </c>
      <c r="I17" s="4">
        <v>4.0599999999999996</v>
      </c>
      <c r="J17" s="4" t="s">
        <v>104</v>
      </c>
      <c r="K17" s="4"/>
      <c r="L17" s="4">
        <v>21472</v>
      </c>
      <c r="M17" s="4"/>
    </row>
    <row r="18" spans="1:13">
      <c r="A18" s="10" t="s">
        <v>255</v>
      </c>
      <c r="B18" s="16">
        <v>1</v>
      </c>
      <c r="C18" s="22"/>
      <c r="D18" s="4">
        <v>10</v>
      </c>
      <c r="E18" s="4" t="s">
        <v>102</v>
      </c>
      <c r="F18" s="4"/>
      <c r="G18" s="4">
        <v>10</v>
      </c>
      <c r="H18" s="4" t="s">
        <v>102</v>
      </c>
      <c r="I18" s="4"/>
      <c r="J18" s="4"/>
      <c r="K18" s="4"/>
      <c r="L18" s="4"/>
      <c r="M18" s="4"/>
    </row>
    <row r="19" spans="1:13">
      <c r="A19" s="10" t="s">
        <v>117</v>
      </c>
      <c r="B19" s="4"/>
      <c r="C19" s="22"/>
      <c r="D19" s="4">
        <v>10</v>
      </c>
      <c r="E19" s="4" t="s">
        <v>102</v>
      </c>
      <c r="F19" s="4"/>
      <c r="G19" s="4">
        <v>10</v>
      </c>
      <c r="H19" s="4" t="s">
        <v>102</v>
      </c>
      <c r="I19" s="4">
        <v>1.19</v>
      </c>
      <c r="J19" s="4" t="s">
        <v>118</v>
      </c>
      <c r="K19" s="4"/>
      <c r="L19" s="4">
        <v>289457</v>
      </c>
      <c r="M19" s="4"/>
    </row>
    <row r="20" spans="1:13">
      <c r="A20" s="19" t="s">
        <v>36</v>
      </c>
      <c r="B20" s="16">
        <v>1.875</v>
      </c>
      <c r="C20" s="22"/>
      <c r="D20" s="4">
        <v>2</v>
      </c>
      <c r="E20" s="4" t="s">
        <v>7</v>
      </c>
      <c r="F20" s="4"/>
      <c r="G20" s="4">
        <v>2</v>
      </c>
      <c r="H20" s="4" t="s">
        <v>7</v>
      </c>
      <c r="I20" s="4">
        <v>3.01</v>
      </c>
      <c r="J20" s="4" t="s">
        <v>110</v>
      </c>
      <c r="K20" s="4"/>
      <c r="L20" s="4">
        <v>818334</v>
      </c>
      <c r="M20" s="4"/>
    </row>
    <row r="21" spans="1:13">
      <c r="A21" s="21" t="s">
        <v>119</v>
      </c>
      <c r="B21" s="16">
        <v>18.75</v>
      </c>
      <c r="C21" s="22"/>
      <c r="D21" s="4">
        <v>20</v>
      </c>
      <c r="E21" s="4" t="s">
        <v>102</v>
      </c>
      <c r="F21" s="4"/>
      <c r="G21" s="4">
        <v>20</v>
      </c>
      <c r="H21" s="4" t="s">
        <v>102</v>
      </c>
      <c r="I21" s="4">
        <v>0.63700000000000001</v>
      </c>
      <c r="J21" s="4" t="s">
        <v>120</v>
      </c>
      <c r="K21" s="4"/>
      <c r="L21" s="4">
        <v>638952</v>
      </c>
      <c r="M21" s="4"/>
    </row>
    <row r="22" spans="1:13">
      <c r="A22" s="21" t="s">
        <v>121</v>
      </c>
      <c r="B22" s="16"/>
      <c r="C22" s="22"/>
      <c r="D22" s="4">
        <v>15</v>
      </c>
      <c r="E22" s="4" t="s">
        <v>102</v>
      </c>
      <c r="F22" s="4"/>
      <c r="G22" s="4">
        <v>15</v>
      </c>
      <c r="H22" s="4" t="s">
        <v>102</v>
      </c>
      <c r="I22" s="4">
        <v>0.39950000000000002</v>
      </c>
      <c r="J22" s="4" t="s">
        <v>122</v>
      </c>
      <c r="K22" s="4"/>
      <c r="L22" s="4">
        <v>156159</v>
      </c>
      <c r="M22" s="4"/>
    </row>
    <row r="23" spans="1:13">
      <c r="A23" s="21" t="s">
        <v>123</v>
      </c>
      <c r="B23" s="4">
        <v>10</v>
      </c>
      <c r="C23" s="22"/>
      <c r="D23" s="4">
        <v>15</v>
      </c>
      <c r="E23" s="4" t="s">
        <v>102</v>
      </c>
      <c r="F23" s="4"/>
      <c r="G23" s="4">
        <v>15</v>
      </c>
      <c r="H23" s="4" t="s">
        <v>102</v>
      </c>
      <c r="I23" s="4">
        <v>1.42</v>
      </c>
      <c r="J23" s="4" t="s">
        <v>120</v>
      </c>
      <c r="K23" s="4"/>
      <c r="L23" s="4">
        <v>546349</v>
      </c>
      <c r="M23" s="4"/>
    </row>
    <row r="24" spans="1:13">
      <c r="A24" s="18" t="s">
        <v>124</v>
      </c>
      <c r="B24" s="16">
        <v>1</v>
      </c>
      <c r="C24" s="22"/>
      <c r="D24" s="4">
        <v>48</v>
      </c>
      <c r="E24" s="4" t="s">
        <v>102</v>
      </c>
      <c r="F24" s="4"/>
      <c r="G24" s="4">
        <v>48</v>
      </c>
      <c r="H24" s="4" t="s">
        <v>102</v>
      </c>
      <c r="I24" s="4">
        <v>0.3246</v>
      </c>
      <c r="J24" s="4" t="s">
        <v>125</v>
      </c>
      <c r="K24" s="4"/>
      <c r="L24" s="4">
        <v>545886</v>
      </c>
      <c r="M24" s="4"/>
    </row>
    <row r="25" spans="1:13">
      <c r="A25" s="18" t="s">
        <v>126</v>
      </c>
      <c r="B25" s="16">
        <v>1</v>
      </c>
      <c r="C25" s="22"/>
      <c r="D25" s="4">
        <f>6*0.175</f>
        <v>1.0499999999999998</v>
      </c>
      <c r="E25" s="4" t="s">
        <v>7</v>
      </c>
      <c r="F25" s="4"/>
      <c r="G25" s="4">
        <f>6*0.175</f>
        <v>1.0499999999999998</v>
      </c>
      <c r="H25" s="4" t="s">
        <v>7</v>
      </c>
      <c r="I25" s="4">
        <v>2.76</v>
      </c>
      <c r="J25" s="4"/>
      <c r="K25" s="4"/>
      <c r="L25" s="4">
        <v>978553</v>
      </c>
      <c r="M25" s="4">
        <v>0.7</v>
      </c>
    </row>
    <row r="26" spans="1:13">
      <c r="A26" s="18" t="s">
        <v>127</v>
      </c>
      <c r="B26" s="16">
        <v>0.75</v>
      </c>
      <c r="C26" s="22"/>
      <c r="D26" s="4">
        <v>1</v>
      </c>
      <c r="E26" s="4" t="s">
        <v>7</v>
      </c>
      <c r="F26" s="4"/>
      <c r="G26" s="4">
        <v>1</v>
      </c>
      <c r="H26" s="4" t="s">
        <v>7</v>
      </c>
      <c r="I26" s="4">
        <v>0.13539999999999999</v>
      </c>
      <c r="J26" s="4" t="s">
        <v>128</v>
      </c>
      <c r="K26" s="4"/>
      <c r="L26" s="4">
        <v>30558</v>
      </c>
      <c r="M26" s="4">
        <v>0</v>
      </c>
    </row>
    <row r="27" spans="1:13">
      <c r="A27" s="5" t="s">
        <v>56</v>
      </c>
      <c r="B27" s="16">
        <v>0.75</v>
      </c>
      <c r="C27" s="22"/>
      <c r="D27" s="4">
        <v>2</v>
      </c>
      <c r="E27" s="4" t="s">
        <v>102</v>
      </c>
      <c r="F27" s="4"/>
      <c r="G27" s="4">
        <v>2</v>
      </c>
      <c r="H27" s="4" t="s">
        <v>102</v>
      </c>
      <c r="I27" s="4">
        <v>3.41</v>
      </c>
      <c r="J27" s="4" t="s">
        <v>129</v>
      </c>
      <c r="K27" s="4"/>
      <c r="L27" s="4">
        <v>631284</v>
      </c>
      <c r="M27" s="4">
        <v>0</v>
      </c>
    </row>
    <row r="28" spans="1:13">
      <c r="A28" s="5" t="s">
        <v>58</v>
      </c>
      <c r="B28" s="16">
        <v>0.625</v>
      </c>
      <c r="C28" s="22"/>
      <c r="D28" s="4">
        <v>2</v>
      </c>
      <c r="E28" s="4" t="s">
        <v>102</v>
      </c>
      <c r="F28" s="4"/>
      <c r="G28" s="4">
        <v>2</v>
      </c>
      <c r="H28" s="4" t="s">
        <v>102</v>
      </c>
      <c r="I28" s="4">
        <v>2.5499999999999998</v>
      </c>
      <c r="J28" s="4" t="s">
        <v>130</v>
      </c>
      <c r="K28" s="4"/>
      <c r="L28" s="4">
        <v>223568</v>
      </c>
      <c r="M28" s="4">
        <v>0</v>
      </c>
    </row>
    <row r="29" spans="1:13">
      <c r="A29" s="18" t="s">
        <v>131</v>
      </c>
      <c r="B29" s="16">
        <v>15</v>
      </c>
      <c r="C29" s="22"/>
      <c r="D29" s="4">
        <v>20</v>
      </c>
      <c r="E29" s="4" t="s">
        <v>102</v>
      </c>
      <c r="F29" s="4"/>
      <c r="G29" s="4">
        <v>20</v>
      </c>
      <c r="H29" s="4" t="s">
        <v>102</v>
      </c>
      <c r="I29" s="4">
        <v>0.59</v>
      </c>
      <c r="J29" s="4" t="s">
        <v>132</v>
      </c>
      <c r="K29" s="4"/>
      <c r="L29" s="4">
        <v>745082</v>
      </c>
      <c r="M29" s="4">
        <v>20</v>
      </c>
    </row>
    <row r="30" spans="1:13">
      <c r="A30" s="18" t="s">
        <v>133</v>
      </c>
      <c r="B30" s="20">
        <v>15</v>
      </c>
      <c r="C30" s="22"/>
      <c r="D30" s="4">
        <v>5</v>
      </c>
      <c r="E30" s="4" t="s">
        <v>102</v>
      </c>
      <c r="F30" s="4"/>
      <c r="G30" s="4">
        <v>5</v>
      </c>
      <c r="H30" s="4" t="s">
        <v>102</v>
      </c>
      <c r="I30" s="4">
        <v>1.62</v>
      </c>
      <c r="J30" s="4"/>
      <c r="K30" s="4"/>
      <c r="L30" s="4">
        <v>533727</v>
      </c>
      <c r="M30" s="4">
        <v>8</v>
      </c>
    </row>
    <row r="31" spans="1:13">
      <c r="A31" s="18" t="s">
        <v>134</v>
      </c>
      <c r="B31" s="20">
        <v>7.5</v>
      </c>
      <c r="C31" s="22"/>
      <c r="D31" s="4">
        <v>5</v>
      </c>
      <c r="E31" s="4" t="s">
        <v>102</v>
      </c>
      <c r="F31" s="4"/>
      <c r="G31" s="4">
        <v>5</v>
      </c>
      <c r="H31" s="4" t="s">
        <v>102</v>
      </c>
      <c r="I31" s="4">
        <v>2.12</v>
      </c>
      <c r="J31" s="4"/>
      <c r="K31" s="4"/>
      <c r="L31" s="4">
        <v>431311</v>
      </c>
      <c r="M31" s="4">
        <v>6</v>
      </c>
    </row>
    <row r="32" spans="1:13">
      <c r="A32" s="5" t="s">
        <v>85</v>
      </c>
      <c r="B32" s="16">
        <v>7.5</v>
      </c>
      <c r="C32" s="22"/>
      <c r="D32" s="4">
        <v>12</v>
      </c>
      <c r="E32" s="4" t="s">
        <v>135</v>
      </c>
      <c r="F32" s="4"/>
      <c r="G32" s="4">
        <v>12</v>
      </c>
      <c r="H32" s="4" t="s">
        <v>135</v>
      </c>
      <c r="I32" s="4">
        <v>2.12</v>
      </c>
      <c r="J32" s="4" t="s">
        <v>136</v>
      </c>
      <c r="K32" s="4"/>
      <c r="L32" s="4">
        <v>278612</v>
      </c>
      <c r="M32" s="4"/>
    </row>
    <row r="33" spans="1:13">
      <c r="A33" s="5" t="s">
        <v>87</v>
      </c>
      <c r="B33" s="16">
        <v>7.5</v>
      </c>
      <c r="C33" s="22"/>
      <c r="D33" s="4">
        <v>6</v>
      </c>
      <c r="E33" s="4" t="s">
        <v>135</v>
      </c>
      <c r="F33" s="4"/>
      <c r="G33" s="4">
        <v>6</v>
      </c>
      <c r="H33" s="4" t="s">
        <v>135</v>
      </c>
      <c r="I33" s="4">
        <v>1.89</v>
      </c>
      <c r="J33" s="4" t="s">
        <v>136</v>
      </c>
      <c r="K33" s="4"/>
      <c r="L33" s="4">
        <v>12402</v>
      </c>
      <c r="M33" s="4">
        <v>4</v>
      </c>
    </row>
    <row r="34" spans="1:13">
      <c r="A34" s="4" t="s">
        <v>137</v>
      </c>
      <c r="B34" s="4"/>
      <c r="C34" s="22"/>
      <c r="D34" s="4">
        <v>1</v>
      </c>
      <c r="E34" s="4" t="s">
        <v>138</v>
      </c>
      <c r="F34" s="4"/>
      <c r="G34" s="4">
        <v>1</v>
      </c>
      <c r="H34" s="4" t="s">
        <v>138</v>
      </c>
      <c r="I34" s="4">
        <v>3.04</v>
      </c>
      <c r="J34" s="4"/>
      <c r="K34" s="4"/>
      <c r="L34" s="4">
        <v>414930</v>
      </c>
      <c r="M34" s="4"/>
    </row>
    <row r="35" spans="1:13">
      <c r="A35" s="4" t="s">
        <v>139</v>
      </c>
      <c r="B35" s="4"/>
      <c r="C35" s="22"/>
      <c r="D35" s="4">
        <v>1</v>
      </c>
      <c r="E35" s="4" t="s">
        <v>138</v>
      </c>
      <c r="F35" s="4"/>
      <c r="G35" s="4">
        <v>1</v>
      </c>
      <c r="H35" s="4" t="s">
        <v>138</v>
      </c>
      <c r="I35" s="4">
        <v>3.26</v>
      </c>
      <c r="J35" s="4"/>
      <c r="K35" s="4"/>
      <c r="L35" s="4">
        <v>414927</v>
      </c>
      <c r="M35" s="4"/>
    </row>
    <row r="36" spans="1:13">
      <c r="A36" s="4" t="s">
        <v>140</v>
      </c>
      <c r="B36" s="4"/>
      <c r="C36" s="22"/>
      <c r="D36" s="4">
        <v>1</v>
      </c>
      <c r="E36" s="4" t="s">
        <v>138</v>
      </c>
      <c r="F36" s="4"/>
      <c r="G36" s="4">
        <v>1</v>
      </c>
      <c r="H36" s="4" t="s">
        <v>138</v>
      </c>
      <c r="I36" s="4">
        <v>3.04</v>
      </c>
      <c r="J36" s="4"/>
      <c r="K36" s="4"/>
      <c r="L36" s="4">
        <v>414929</v>
      </c>
      <c r="M36" s="4"/>
    </row>
    <row r="37" spans="1:13">
      <c r="A37" s="4" t="s">
        <v>141</v>
      </c>
      <c r="B37" s="4"/>
      <c r="C37" s="22"/>
      <c r="D37" s="4">
        <v>1</v>
      </c>
      <c r="E37" s="4" t="s">
        <v>138</v>
      </c>
      <c r="F37" s="4"/>
      <c r="G37" s="4">
        <v>1</v>
      </c>
      <c r="H37" s="4" t="s">
        <v>138</v>
      </c>
      <c r="I37" s="4">
        <v>3.26</v>
      </c>
      <c r="J37" s="4"/>
      <c r="K37" s="4"/>
      <c r="L37" s="4">
        <v>414931</v>
      </c>
      <c r="M37" s="4"/>
    </row>
    <row r="38" spans="1:13">
      <c r="A38" s="4" t="s">
        <v>142</v>
      </c>
      <c r="B38" s="4"/>
      <c r="C38" s="22"/>
      <c r="D38" s="4">
        <v>4</v>
      </c>
      <c r="E38" s="4" t="s">
        <v>7</v>
      </c>
      <c r="F38" s="4" t="s">
        <v>143</v>
      </c>
      <c r="G38" s="4">
        <v>4</v>
      </c>
      <c r="H38" s="4" t="s">
        <v>7</v>
      </c>
      <c r="I38" s="4">
        <v>10.050000000000001</v>
      </c>
      <c r="J38" t="s">
        <v>144</v>
      </c>
      <c r="L38" s="4">
        <v>436486</v>
      </c>
      <c r="M38" s="4">
        <v>2</v>
      </c>
    </row>
    <row r="39" spans="1:13">
      <c r="A39" s="4" t="s">
        <v>145</v>
      </c>
      <c r="B39" s="4"/>
      <c r="C39" s="22"/>
      <c r="D39" s="4">
        <v>2</v>
      </c>
      <c r="E39" s="4" t="s">
        <v>7</v>
      </c>
      <c r="F39" s="4" t="s">
        <v>143</v>
      </c>
      <c r="G39" s="4">
        <v>2</v>
      </c>
      <c r="H39" s="4" t="s">
        <v>7</v>
      </c>
      <c r="I39" s="4">
        <v>0.65</v>
      </c>
      <c r="J39" s="4" t="s">
        <v>104</v>
      </c>
      <c r="K39" s="4"/>
      <c r="L39" s="4">
        <v>277977</v>
      </c>
      <c r="M39" s="4">
        <v>1</v>
      </c>
    </row>
    <row r="40" spans="1:13">
      <c r="A40" s="4" t="s">
        <v>256</v>
      </c>
      <c r="B40" s="4"/>
      <c r="C40" s="22"/>
      <c r="D40" s="4">
        <v>12</v>
      </c>
      <c r="E40" s="4" t="s">
        <v>102</v>
      </c>
      <c r="F40" s="4"/>
      <c r="G40" s="4">
        <v>12</v>
      </c>
      <c r="H40" s="4" t="s">
        <v>102</v>
      </c>
      <c r="I40" s="4"/>
      <c r="J40" s="4"/>
      <c r="K40" s="4"/>
      <c r="L40" s="4"/>
      <c r="M40" s="4"/>
    </row>
    <row r="41" spans="1:13">
      <c r="A41" s="4" t="s">
        <v>257</v>
      </c>
      <c r="B41" s="4"/>
      <c r="C41" s="22"/>
      <c r="D41" s="4">
        <v>12</v>
      </c>
      <c r="E41" s="4" t="s">
        <v>102</v>
      </c>
      <c r="F41" s="4"/>
      <c r="G41" s="4">
        <v>12</v>
      </c>
      <c r="H41" s="4" t="s">
        <v>102</v>
      </c>
      <c r="I41" s="4"/>
      <c r="J41" s="4"/>
      <c r="K41" s="4"/>
      <c r="L41" s="4"/>
      <c r="M41" s="4"/>
    </row>
    <row r="42" spans="1:13">
      <c r="K42" s="106">
        <f>SUM(A35:K41)</f>
        <v>86.259999999999991</v>
      </c>
    </row>
    <row r="44" spans="1:13">
      <c r="A44" s="23" t="s">
        <v>258</v>
      </c>
    </row>
    <row r="45" spans="1:13">
      <c r="A45" s="24" t="s">
        <v>61</v>
      </c>
    </row>
    <row r="46" spans="1:13">
      <c r="A46" s="25" t="s">
        <v>25</v>
      </c>
    </row>
    <row r="47" spans="1:13">
      <c r="A47" s="25" t="s">
        <v>17</v>
      </c>
    </row>
    <row r="48" spans="1:13">
      <c r="A48" s="25" t="s">
        <v>19</v>
      </c>
    </row>
    <row r="49" spans="1:1">
      <c r="A49" s="24" t="s">
        <v>31</v>
      </c>
    </row>
    <row r="50" spans="1:1">
      <c r="A50" s="25" t="s">
        <v>34</v>
      </c>
    </row>
    <row r="51" spans="1:1">
      <c r="A51" s="24" t="s">
        <v>40</v>
      </c>
    </row>
    <row r="52" spans="1:1">
      <c r="A52" s="24" t="s">
        <v>42</v>
      </c>
    </row>
    <row r="53" spans="1:1">
      <c r="A53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600C-831C-4635-8AB5-FF526A37CEF4}">
  <dimension ref="A1:M59"/>
  <sheetViews>
    <sheetView workbookViewId="0">
      <pane ySplit="1" topLeftCell="A32" activePane="bottomLeft" state="frozen"/>
      <selection pane="bottomLeft" activeCell="I38" sqref="I38"/>
    </sheetView>
  </sheetViews>
  <sheetFormatPr defaultRowHeight="15"/>
  <cols>
    <col min="1" max="1" width="45" customWidth="1"/>
    <col min="2" max="2" width="9.140625" hidden="1" customWidth="1"/>
    <col min="6" max="6" width="30.7109375" bestFit="1" customWidth="1"/>
    <col min="7" max="7" width="12.5703125" bestFit="1" customWidth="1"/>
    <col min="10" max="10" width="16.140625" customWidth="1"/>
    <col min="12" max="12" width="11.5703125" bestFit="1" customWidth="1"/>
    <col min="13" max="13" width="17.42578125" customWidth="1"/>
  </cols>
  <sheetData>
    <row r="1" spans="1:13" ht="15.75">
      <c r="A1" s="58" t="s">
        <v>93</v>
      </c>
      <c r="B1" s="59">
        <v>16.02</v>
      </c>
      <c r="C1" s="60"/>
      <c r="D1" s="58" t="s">
        <v>94</v>
      </c>
      <c r="E1" s="58" t="s">
        <v>95</v>
      </c>
      <c r="F1" s="58" t="s">
        <v>96</v>
      </c>
      <c r="G1" s="58" t="s">
        <v>97</v>
      </c>
      <c r="H1" s="58" t="s">
        <v>98</v>
      </c>
      <c r="I1" s="58" t="s">
        <v>99</v>
      </c>
      <c r="J1" s="58" t="s">
        <v>98</v>
      </c>
      <c r="K1" s="58" t="s">
        <v>100</v>
      </c>
      <c r="L1" s="58" t="s">
        <v>92</v>
      </c>
      <c r="M1" s="59" t="s">
        <v>253</v>
      </c>
    </row>
    <row r="2" spans="1:13">
      <c r="A2" s="17" t="s">
        <v>6</v>
      </c>
      <c r="B2" s="16">
        <v>4.5</v>
      </c>
      <c r="C2" s="22"/>
      <c r="D2" s="4">
        <v>5</v>
      </c>
      <c r="E2" s="4" t="s">
        <v>7</v>
      </c>
      <c r="F2" s="4" t="s">
        <v>101</v>
      </c>
      <c r="G2" s="4">
        <v>2</v>
      </c>
      <c r="H2" s="4" t="s">
        <v>146</v>
      </c>
      <c r="I2" s="26">
        <v>1.62</v>
      </c>
      <c r="J2" s="6" t="s">
        <v>7</v>
      </c>
      <c r="K2" s="6">
        <f>I2*G2</f>
        <v>3.24</v>
      </c>
      <c r="L2" s="4">
        <v>31477</v>
      </c>
      <c r="M2" s="4"/>
    </row>
    <row r="3" spans="1:13">
      <c r="A3" s="17" t="s">
        <v>9</v>
      </c>
      <c r="B3" s="16">
        <v>4.5</v>
      </c>
      <c r="C3" s="22"/>
      <c r="D3" s="4">
        <v>5</v>
      </c>
      <c r="E3" s="4" t="s">
        <v>7</v>
      </c>
      <c r="F3" s="4" t="s">
        <v>101</v>
      </c>
      <c r="G3" s="4"/>
      <c r="H3" s="4"/>
      <c r="I3" s="4">
        <v>2.19</v>
      </c>
      <c r="J3" s="4" t="s">
        <v>7</v>
      </c>
      <c r="K3" s="4"/>
      <c r="L3" s="4">
        <v>280062</v>
      </c>
      <c r="M3" s="4"/>
    </row>
    <row r="4" spans="1:13">
      <c r="A4" s="18" t="s">
        <v>103</v>
      </c>
      <c r="B4" s="16">
        <v>4.5</v>
      </c>
      <c r="C4" s="22"/>
      <c r="D4" s="4">
        <v>3</v>
      </c>
      <c r="E4" s="4" t="s">
        <v>7</v>
      </c>
      <c r="F4" s="4"/>
      <c r="G4" s="4"/>
      <c r="H4" s="4"/>
      <c r="I4" s="4">
        <v>1.97</v>
      </c>
      <c r="J4" s="4" t="s">
        <v>104</v>
      </c>
      <c r="K4" s="4"/>
      <c r="L4" s="4">
        <v>265730</v>
      </c>
      <c r="M4" s="4">
        <v>0.5</v>
      </c>
    </row>
    <row r="5" spans="1:13">
      <c r="A5" s="18" t="s">
        <v>105</v>
      </c>
      <c r="B5" s="16"/>
      <c r="C5" s="22"/>
      <c r="D5" s="4">
        <v>3</v>
      </c>
      <c r="E5" s="4" t="s">
        <v>7</v>
      </c>
      <c r="F5" s="4"/>
      <c r="G5" s="4"/>
      <c r="H5" s="4"/>
      <c r="I5" s="4">
        <v>1.97</v>
      </c>
      <c r="J5" s="4" t="s">
        <v>104</v>
      </c>
      <c r="K5" s="4"/>
      <c r="L5" s="4">
        <v>266071</v>
      </c>
      <c r="M5" s="4">
        <v>0.5</v>
      </c>
    </row>
    <row r="6" spans="1:13">
      <c r="A6" s="18" t="s">
        <v>106</v>
      </c>
      <c r="B6" s="16"/>
      <c r="C6" s="22"/>
      <c r="D6" s="4">
        <v>0.5</v>
      </c>
      <c r="E6" s="4" t="s">
        <v>7</v>
      </c>
      <c r="F6" s="4"/>
      <c r="G6" s="4"/>
      <c r="H6" s="4"/>
      <c r="I6" s="4">
        <v>4.3899999999999997</v>
      </c>
      <c r="J6" s="4" t="s">
        <v>104</v>
      </c>
      <c r="K6" s="4"/>
      <c r="L6" s="4">
        <v>2246</v>
      </c>
      <c r="M6" s="4"/>
    </row>
    <row r="7" spans="1:13">
      <c r="A7" s="18" t="s">
        <v>107</v>
      </c>
      <c r="B7" s="16"/>
      <c r="C7" s="22"/>
      <c r="D7" s="4">
        <v>1</v>
      </c>
      <c r="E7" s="4" t="s">
        <v>7</v>
      </c>
      <c r="F7" s="4"/>
      <c r="G7" s="4"/>
      <c r="H7" s="4"/>
      <c r="I7" s="4">
        <v>4.17</v>
      </c>
      <c r="J7" s="4" t="s">
        <v>104</v>
      </c>
      <c r="K7" s="4"/>
      <c r="L7" s="4">
        <v>264280</v>
      </c>
      <c r="M7" s="4"/>
    </row>
    <row r="8" spans="1:13">
      <c r="A8" s="18" t="s">
        <v>254</v>
      </c>
      <c r="B8" s="16"/>
      <c r="C8" s="22"/>
      <c r="D8" s="4">
        <f>0.125*3</f>
        <v>0.375</v>
      </c>
      <c r="E8" s="4" t="s">
        <v>7</v>
      </c>
      <c r="F8" s="4"/>
      <c r="G8" s="4"/>
      <c r="H8" s="4"/>
      <c r="I8" s="4"/>
      <c r="J8" s="4"/>
      <c r="K8" s="4"/>
      <c r="L8" s="4"/>
      <c r="M8" s="4"/>
    </row>
    <row r="9" spans="1:13">
      <c r="A9" s="17" t="s">
        <v>108</v>
      </c>
      <c r="B9" s="16">
        <v>1</v>
      </c>
      <c r="C9" s="22"/>
      <c r="D9" s="4">
        <f>0.125*3</f>
        <v>0.375</v>
      </c>
      <c r="E9" s="4" t="s">
        <v>7</v>
      </c>
      <c r="F9" s="4"/>
      <c r="G9" s="4"/>
      <c r="H9" s="4"/>
      <c r="I9" s="4">
        <v>3.07</v>
      </c>
      <c r="J9" s="4" t="s">
        <v>109</v>
      </c>
      <c r="K9" s="4"/>
      <c r="L9" s="4">
        <v>10146</v>
      </c>
      <c r="M9" s="4"/>
    </row>
    <row r="10" spans="1:13">
      <c r="A10" s="18" t="s">
        <v>12</v>
      </c>
      <c r="B10" s="16">
        <v>0.75</v>
      </c>
      <c r="C10" s="22"/>
      <c r="D10" s="4">
        <v>6</v>
      </c>
      <c r="E10" s="4" t="s">
        <v>7</v>
      </c>
      <c r="F10" s="4" t="s">
        <v>101</v>
      </c>
      <c r="G10" s="4">
        <v>4</v>
      </c>
      <c r="H10" s="4" t="s">
        <v>7</v>
      </c>
      <c r="I10" s="4">
        <v>1.57</v>
      </c>
      <c r="J10" s="4" t="s">
        <v>110</v>
      </c>
      <c r="K10" s="6">
        <f>I10*G10</f>
        <v>6.28</v>
      </c>
      <c r="L10" s="4">
        <v>211702</v>
      </c>
      <c r="M10" s="4">
        <v>3</v>
      </c>
    </row>
    <row r="11" spans="1:13">
      <c r="A11" s="5" t="s">
        <v>111</v>
      </c>
      <c r="B11" s="16"/>
      <c r="C11" s="22"/>
      <c r="D11" s="4">
        <v>1</v>
      </c>
      <c r="E11" s="4" t="s">
        <v>7</v>
      </c>
      <c r="F11" s="4" t="s">
        <v>112</v>
      </c>
      <c r="G11" s="4"/>
      <c r="H11" s="4"/>
      <c r="I11" s="4">
        <v>7.77</v>
      </c>
      <c r="J11" s="4" t="s">
        <v>104</v>
      </c>
      <c r="K11" s="4"/>
      <c r="L11" s="4">
        <v>970353</v>
      </c>
      <c r="M11" s="4"/>
    </row>
    <row r="12" spans="1:13">
      <c r="A12" s="5" t="s">
        <v>113</v>
      </c>
      <c r="B12" s="16"/>
      <c r="C12" s="22"/>
      <c r="D12" s="4">
        <v>1</v>
      </c>
      <c r="E12" s="4" t="s">
        <v>7</v>
      </c>
      <c r="F12" s="4" t="s">
        <v>112</v>
      </c>
      <c r="G12" s="4"/>
      <c r="H12" s="4"/>
      <c r="I12" s="4">
        <v>9.34</v>
      </c>
      <c r="J12" s="4" t="s">
        <v>7</v>
      </c>
      <c r="K12" s="4"/>
      <c r="L12" s="4">
        <v>327897</v>
      </c>
      <c r="M12" s="4"/>
    </row>
    <row r="13" spans="1:13">
      <c r="A13" s="5" t="s">
        <v>21</v>
      </c>
      <c r="B13" s="16">
        <v>0.75</v>
      </c>
      <c r="C13" s="22"/>
      <c r="D13" s="4">
        <v>1</v>
      </c>
      <c r="E13" s="4" t="s">
        <v>7</v>
      </c>
      <c r="F13" s="4" t="s">
        <v>112</v>
      </c>
      <c r="G13" s="4"/>
      <c r="H13" s="4"/>
      <c r="I13" s="4">
        <v>12.5</v>
      </c>
      <c r="J13" s="4" t="s">
        <v>110</v>
      </c>
      <c r="K13" s="4"/>
      <c r="L13" s="4">
        <v>965341</v>
      </c>
      <c r="M13" s="4"/>
    </row>
    <row r="14" spans="1:13">
      <c r="A14" s="5" t="s">
        <v>23</v>
      </c>
      <c r="B14" s="16">
        <v>0.625</v>
      </c>
      <c r="C14" s="22"/>
      <c r="D14" s="4">
        <v>1</v>
      </c>
      <c r="E14" s="4" t="s">
        <v>7</v>
      </c>
      <c r="F14" s="4" t="s">
        <v>112</v>
      </c>
      <c r="G14" s="4"/>
      <c r="H14" s="4"/>
      <c r="I14" s="4">
        <v>8.7899999999999991</v>
      </c>
      <c r="J14" s="4" t="s">
        <v>104</v>
      </c>
      <c r="K14" s="4"/>
      <c r="L14" s="4">
        <v>19986</v>
      </c>
      <c r="M14" s="4"/>
    </row>
    <row r="15" spans="1:13">
      <c r="A15" s="5" t="s">
        <v>114</v>
      </c>
      <c r="B15" s="16"/>
      <c r="C15" s="22"/>
      <c r="D15" s="4">
        <v>1</v>
      </c>
      <c r="E15" s="4" t="s">
        <v>7</v>
      </c>
      <c r="F15" s="4" t="s">
        <v>112</v>
      </c>
      <c r="G15" s="4"/>
      <c r="H15" s="4"/>
      <c r="I15" s="4">
        <v>13.19</v>
      </c>
      <c r="J15" s="4" t="s">
        <v>7</v>
      </c>
      <c r="K15" s="4"/>
      <c r="L15" s="4">
        <v>21100</v>
      </c>
      <c r="M15" s="4">
        <v>0.6</v>
      </c>
    </row>
    <row r="16" spans="1:13">
      <c r="A16" s="5" t="s">
        <v>115</v>
      </c>
      <c r="B16" s="16"/>
      <c r="C16" s="22"/>
      <c r="D16" s="4">
        <v>1</v>
      </c>
      <c r="E16" s="4" t="s">
        <v>7</v>
      </c>
      <c r="F16" s="4" t="s">
        <v>112</v>
      </c>
      <c r="G16" s="4"/>
      <c r="H16" s="4"/>
      <c r="I16" s="4">
        <v>9.89</v>
      </c>
      <c r="J16" s="4" t="s">
        <v>7</v>
      </c>
      <c r="K16" s="4"/>
      <c r="L16" s="4">
        <v>17319</v>
      </c>
      <c r="M16" s="4">
        <v>0.5</v>
      </c>
    </row>
    <row r="17" spans="1:13">
      <c r="A17" s="5" t="s">
        <v>116</v>
      </c>
      <c r="B17" s="16"/>
      <c r="C17" s="22"/>
      <c r="D17" s="4">
        <v>1</v>
      </c>
      <c r="E17" s="4" t="s">
        <v>7</v>
      </c>
      <c r="F17" s="4" t="s">
        <v>112</v>
      </c>
      <c r="G17" s="4"/>
      <c r="H17" s="4"/>
      <c r="I17" s="4">
        <v>4.0599999999999996</v>
      </c>
      <c r="J17" s="4" t="s">
        <v>104</v>
      </c>
      <c r="K17" s="4"/>
      <c r="L17" s="4">
        <v>21472</v>
      </c>
      <c r="M17" s="4"/>
    </row>
    <row r="18" spans="1:13">
      <c r="A18" s="10" t="s">
        <v>255</v>
      </c>
      <c r="B18" s="16">
        <v>1</v>
      </c>
      <c r="C18" s="22"/>
      <c r="D18" s="4">
        <v>10</v>
      </c>
      <c r="E18" s="4" t="s">
        <v>102</v>
      </c>
      <c r="F18" s="4"/>
      <c r="G18" s="4"/>
      <c r="H18" s="4"/>
      <c r="I18" s="4"/>
      <c r="J18" s="4"/>
      <c r="K18" s="4"/>
      <c r="L18" s="4"/>
      <c r="M18" s="4"/>
    </row>
    <row r="19" spans="1:13">
      <c r="A19" s="10" t="s">
        <v>117</v>
      </c>
      <c r="B19" s="4"/>
      <c r="C19" s="22"/>
      <c r="D19" s="4">
        <v>10</v>
      </c>
      <c r="E19" s="4" t="s">
        <v>102</v>
      </c>
      <c r="F19" s="4"/>
      <c r="G19" s="4"/>
      <c r="H19" s="4"/>
      <c r="I19" s="4">
        <v>1.19</v>
      </c>
      <c r="J19" s="4" t="s">
        <v>118</v>
      </c>
      <c r="K19" s="4"/>
      <c r="L19" s="4">
        <v>289457</v>
      </c>
      <c r="M19" s="4"/>
    </row>
    <row r="20" spans="1:13">
      <c r="A20" s="19" t="s">
        <v>36</v>
      </c>
      <c r="B20" s="16">
        <v>1.875</v>
      </c>
      <c r="C20" s="22"/>
      <c r="D20" s="4">
        <v>2</v>
      </c>
      <c r="E20" s="4" t="s">
        <v>7</v>
      </c>
      <c r="F20" s="4"/>
      <c r="G20" s="4"/>
      <c r="H20" s="4"/>
      <c r="I20" s="4">
        <v>3.01</v>
      </c>
      <c r="J20" s="4" t="s">
        <v>110</v>
      </c>
      <c r="K20" s="4"/>
      <c r="L20" s="4">
        <v>818334</v>
      </c>
      <c r="M20" s="4"/>
    </row>
    <row r="21" spans="1:13">
      <c r="A21" s="21" t="s">
        <v>119</v>
      </c>
      <c r="B21" s="16">
        <v>18.75</v>
      </c>
      <c r="C21" s="22"/>
      <c r="D21" s="4">
        <v>20</v>
      </c>
      <c r="E21" s="4" t="s">
        <v>102</v>
      </c>
      <c r="F21" s="4"/>
      <c r="G21" s="4"/>
      <c r="H21" s="4"/>
      <c r="I21" s="4">
        <v>0.63700000000000001</v>
      </c>
      <c r="J21" s="4" t="s">
        <v>120</v>
      </c>
      <c r="K21" s="4"/>
      <c r="L21" s="4">
        <v>638952</v>
      </c>
      <c r="M21" s="4"/>
    </row>
    <row r="22" spans="1:13">
      <c r="A22" s="21" t="s">
        <v>121</v>
      </c>
      <c r="B22" s="16"/>
      <c r="C22" s="22"/>
      <c r="D22" s="4">
        <v>15</v>
      </c>
      <c r="E22" s="4" t="s">
        <v>102</v>
      </c>
      <c r="F22" s="4"/>
      <c r="G22" s="4"/>
      <c r="H22" s="4"/>
      <c r="I22" s="4">
        <v>0.39950000000000002</v>
      </c>
      <c r="J22" s="4" t="s">
        <v>122</v>
      </c>
      <c r="K22" s="4"/>
      <c r="L22" s="4">
        <v>156159</v>
      </c>
      <c r="M22" s="4"/>
    </row>
    <row r="23" spans="1:13">
      <c r="A23" s="21" t="s">
        <v>123</v>
      </c>
      <c r="B23" s="4">
        <v>10</v>
      </c>
      <c r="C23" s="22"/>
      <c r="D23" s="4">
        <v>15</v>
      </c>
      <c r="E23" s="4" t="s">
        <v>102</v>
      </c>
      <c r="F23" s="4"/>
      <c r="G23" s="4"/>
      <c r="H23" s="4"/>
      <c r="I23" s="4">
        <v>1.42</v>
      </c>
      <c r="J23" s="4" t="s">
        <v>120</v>
      </c>
      <c r="K23" s="4"/>
      <c r="L23" s="4">
        <v>546349</v>
      </c>
      <c r="M23" s="4"/>
    </row>
    <row r="24" spans="1:13">
      <c r="A24" s="18" t="s">
        <v>124</v>
      </c>
      <c r="B24" s="16">
        <v>1</v>
      </c>
      <c r="C24" s="22"/>
      <c r="D24" s="4">
        <v>48</v>
      </c>
      <c r="E24" s="4" t="s">
        <v>102</v>
      </c>
      <c r="F24" s="4"/>
      <c r="G24" s="4"/>
      <c r="H24" s="4"/>
      <c r="I24" s="4">
        <v>0.3246</v>
      </c>
      <c r="J24" s="4" t="s">
        <v>125</v>
      </c>
      <c r="K24" s="4"/>
      <c r="L24" s="4">
        <v>545886</v>
      </c>
      <c r="M24" s="4"/>
    </row>
    <row r="25" spans="1:13">
      <c r="A25" s="18" t="s">
        <v>126</v>
      </c>
      <c r="B25" s="16">
        <v>1</v>
      </c>
      <c r="C25" s="22"/>
      <c r="D25" s="4">
        <f>6*0.175</f>
        <v>1.0499999999999998</v>
      </c>
      <c r="E25" s="4" t="s">
        <v>7</v>
      </c>
      <c r="F25" s="4"/>
      <c r="G25" s="4"/>
      <c r="H25" s="4"/>
      <c r="I25" s="4">
        <v>2.76</v>
      </c>
      <c r="J25" s="4"/>
      <c r="K25" s="4"/>
      <c r="L25" s="4">
        <v>978553</v>
      </c>
      <c r="M25" s="4">
        <v>0.7</v>
      </c>
    </row>
    <row r="26" spans="1:13">
      <c r="A26" s="18" t="s">
        <v>127</v>
      </c>
      <c r="B26" s="16">
        <v>0.75</v>
      </c>
      <c r="C26" s="22"/>
      <c r="D26" s="4">
        <v>1</v>
      </c>
      <c r="E26" s="4" t="s">
        <v>7</v>
      </c>
      <c r="F26" s="4"/>
      <c r="G26" s="4"/>
      <c r="H26" s="4"/>
      <c r="I26" s="4">
        <v>0.13539999999999999</v>
      </c>
      <c r="J26" s="4" t="s">
        <v>128</v>
      </c>
      <c r="K26" s="4"/>
      <c r="L26" s="4">
        <v>30558</v>
      </c>
      <c r="M26" s="4">
        <v>0</v>
      </c>
    </row>
    <row r="27" spans="1:13">
      <c r="A27" s="5" t="s">
        <v>56</v>
      </c>
      <c r="B27" s="16">
        <v>0.75</v>
      </c>
      <c r="C27" s="22"/>
      <c r="D27" s="4">
        <v>2</v>
      </c>
      <c r="E27" s="4" t="s">
        <v>102</v>
      </c>
      <c r="F27" s="4"/>
      <c r="G27" s="4"/>
      <c r="H27" s="4"/>
      <c r="I27" s="4">
        <v>3.41</v>
      </c>
      <c r="J27" s="4" t="s">
        <v>129</v>
      </c>
      <c r="K27" s="4"/>
      <c r="L27" s="4">
        <v>631284</v>
      </c>
      <c r="M27" s="4">
        <v>0</v>
      </c>
    </row>
    <row r="28" spans="1:13">
      <c r="A28" s="5" t="s">
        <v>58</v>
      </c>
      <c r="B28" s="16">
        <v>0.625</v>
      </c>
      <c r="C28" s="22"/>
      <c r="D28" s="4">
        <v>2</v>
      </c>
      <c r="E28" s="4" t="s">
        <v>102</v>
      </c>
      <c r="F28" s="4"/>
      <c r="G28" s="4"/>
      <c r="H28" s="4"/>
      <c r="I28" s="4">
        <v>2.5499999999999998</v>
      </c>
      <c r="J28" s="4" t="s">
        <v>130</v>
      </c>
      <c r="K28" s="4"/>
      <c r="L28" s="4">
        <v>223568</v>
      </c>
      <c r="M28" s="4">
        <v>0</v>
      </c>
    </row>
    <row r="29" spans="1:13">
      <c r="A29" s="18" t="s">
        <v>131</v>
      </c>
      <c r="B29" s="16">
        <v>15</v>
      </c>
      <c r="C29" s="22"/>
      <c r="D29" s="4">
        <v>20</v>
      </c>
      <c r="E29" s="4" t="s">
        <v>102</v>
      </c>
      <c r="F29" s="4"/>
      <c r="G29" s="4"/>
      <c r="H29" s="4"/>
      <c r="I29" s="4">
        <v>0.59</v>
      </c>
      <c r="J29" s="4" t="s">
        <v>132</v>
      </c>
      <c r="K29" s="4"/>
      <c r="L29" s="4">
        <v>745082</v>
      </c>
      <c r="M29" s="4">
        <v>20</v>
      </c>
    </row>
    <row r="30" spans="1:13">
      <c r="A30" s="18" t="s">
        <v>133</v>
      </c>
      <c r="B30" s="20">
        <v>15</v>
      </c>
      <c r="C30" s="22"/>
      <c r="D30" s="4">
        <v>5</v>
      </c>
      <c r="E30" s="4" t="s">
        <v>102</v>
      </c>
      <c r="F30" s="4"/>
      <c r="G30" s="4"/>
      <c r="H30" s="4"/>
      <c r="I30" s="4">
        <v>1.62</v>
      </c>
      <c r="J30" s="4"/>
      <c r="K30" s="4"/>
      <c r="L30" s="4">
        <v>533727</v>
      </c>
      <c r="M30" s="4">
        <v>8</v>
      </c>
    </row>
    <row r="31" spans="1:13">
      <c r="A31" s="18" t="s">
        <v>134</v>
      </c>
      <c r="B31" s="20">
        <v>7.5</v>
      </c>
      <c r="C31" s="22"/>
      <c r="D31" s="4">
        <v>5</v>
      </c>
      <c r="E31" s="4" t="s">
        <v>102</v>
      </c>
      <c r="F31" s="4"/>
      <c r="G31" s="4"/>
      <c r="H31" s="4"/>
      <c r="I31" s="4">
        <v>2.12</v>
      </c>
      <c r="J31" s="4"/>
      <c r="K31" s="4"/>
      <c r="L31" s="4">
        <v>431311</v>
      </c>
      <c r="M31" s="4">
        <v>6</v>
      </c>
    </row>
    <row r="32" spans="1:13">
      <c r="A32" s="5" t="s">
        <v>85</v>
      </c>
      <c r="B32" s="16">
        <v>7.5</v>
      </c>
      <c r="C32" s="22"/>
      <c r="D32" s="4">
        <v>12</v>
      </c>
      <c r="E32" s="4" t="s">
        <v>135</v>
      </c>
      <c r="F32" s="4"/>
      <c r="G32" s="4">
        <v>15</v>
      </c>
      <c r="H32" s="4" t="s">
        <v>147</v>
      </c>
      <c r="I32" s="4">
        <v>2.12</v>
      </c>
      <c r="J32" s="4" t="s">
        <v>136</v>
      </c>
      <c r="K32" s="6">
        <f>I32*G32</f>
        <v>31.8</v>
      </c>
      <c r="L32" s="4">
        <v>278612</v>
      </c>
      <c r="M32" s="4"/>
    </row>
    <row r="33" spans="1:13">
      <c r="A33" s="5" t="s">
        <v>87</v>
      </c>
      <c r="B33" s="16">
        <v>7.5</v>
      </c>
      <c r="C33" s="22"/>
      <c r="D33" s="4">
        <v>6</v>
      </c>
      <c r="E33" s="4" t="s">
        <v>135</v>
      </c>
      <c r="F33" s="4"/>
      <c r="G33" s="4"/>
      <c r="H33" s="4"/>
      <c r="I33" s="4">
        <v>1.89</v>
      </c>
      <c r="J33" s="4" t="s">
        <v>136</v>
      </c>
      <c r="K33" s="4"/>
      <c r="L33" s="4">
        <v>12402</v>
      </c>
      <c r="M33" s="4">
        <v>4</v>
      </c>
    </row>
    <row r="34" spans="1:13">
      <c r="A34" s="4" t="s">
        <v>137</v>
      </c>
      <c r="B34" s="4"/>
      <c r="C34" s="22"/>
      <c r="D34" s="4">
        <v>1</v>
      </c>
      <c r="E34" s="4" t="s">
        <v>138</v>
      </c>
      <c r="F34" s="4"/>
      <c r="G34" s="4"/>
      <c r="H34" s="4"/>
      <c r="I34" s="4">
        <v>3.04</v>
      </c>
      <c r="J34" s="4"/>
      <c r="K34" s="4"/>
      <c r="L34" s="4">
        <v>414930</v>
      </c>
      <c r="M34" s="4"/>
    </row>
    <row r="35" spans="1:13">
      <c r="A35" s="4" t="s">
        <v>139</v>
      </c>
      <c r="B35" s="4"/>
      <c r="C35" s="22"/>
      <c r="D35" s="4">
        <v>1</v>
      </c>
      <c r="E35" s="4" t="s">
        <v>138</v>
      </c>
      <c r="F35" s="4"/>
      <c r="G35" s="4"/>
      <c r="H35" s="4"/>
      <c r="I35" s="4">
        <v>3.26</v>
      </c>
      <c r="J35" s="4"/>
      <c r="K35" s="4"/>
      <c r="L35" s="4">
        <v>414927</v>
      </c>
      <c r="M35" s="4"/>
    </row>
    <row r="36" spans="1:13">
      <c r="A36" s="4" t="s">
        <v>140</v>
      </c>
      <c r="B36" s="4"/>
      <c r="C36" s="22"/>
      <c r="D36" s="4">
        <v>1</v>
      </c>
      <c r="E36" s="4" t="s">
        <v>138</v>
      </c>
      <c r="F36" s="4"/>
      <c r="G36" s="4"/>
      <c r="H36" s="4"/>
      <c r="I36" s="4">
        <v>3.04</v>
      </c>
      <c r="J36" s="4"/>
      <c r="K36" s="4"/>
      <c r="L36" s="4">
        <v>414929</v>
      </c>
      <c r="M36" s="4"/>
    </row>
    <row r="37" spans="1:13">
      <c r="A37" s="4" t="s">
        <v>141</v>
      </c>
      <c r="B37" s="4"/>
      <c r="C37" s="22"/>
      <c r="D37" s="4">
        <v>1</v>
      </c>
      <c r="E37" s="4" t="s">
        <v>138</v>
      </c>
      <c r="F37" s="4"/>
      <c r="G37" s="4"/>
      <c r="H37" s="4"/>
      <c r="I37" s="4">
        <v>3.26</v>
      </c>
      <c r="J37" s="4"/>
      <c r="K37" s="4"/>
      <c r="L37" s="4">
        <v>414931</v>
      </c>
      <c r="M37" s="4"/>
    </row>
    <row r="38" spans="1:13">
      <c r="A38" s="4" t="s">
        <v>142</v>
      </c>
      <c r="B38" s="4"/>
      <c r="C38" s="22"/>
      <c r="D38" s="4">
        <v>4</v>
      </c>
      <c r="E38" s="4" t="s">
        <v>7</v>
      </c>
      <c r="F38" s="4" t="s">
        <v>143</v>
      </c>
      <c r="G38" s="4"/>
      <c r="H38" s="4"/>
      <c r="I38" s="4">
        <v>10.050000000000001</v>
      </c>
      <c r="J38" t="s">
        <v>144</v>
      </c>
      <c r="L38" s="4">
        <v>436486</v>
      </c>
      <c r="M38" s="4">
        <v>2</v>
      </c>
    </row>
    <row r="39" spans="1:13">
      <c r="A39" s="4" t="s">
        <v>145</v>
      </c>
      <c r="B39" s="4"/>
      <c r="C39" s="22"/>
      <c r="D39" s="4">
        <v>2</v>
      </c>
      <c r="E39" s="4" t="s">
        <v>7</v>
      </c>
      <c r="F39" s="4" t="s">
        <v>143</v>
      </c>
      <c r="G39" s="4"/>
      <c r="H39" s="4"/>
      <c r="I39" s="4">
        <v>0.65</v>
      </c>
      <c r="J39" s="4" t="s">
        <v>104</v>
      </c>
      <c r="K39" s="4"/>
      <c r="L39" s="4">
        <v>277977</v>
      </c>
      <c r="M39" s="4">
        <v>1</v>
      </c>
    </row>
    <row r="40" spans="1:13">
      <c r="A40" s="4" t="s">
        <v>256</v>
      </c>
      <c r="B40" s="4"/>
      <c r="C40" s="22"/>
      <c r="D40" s="4">
        <v>12</v>
      </c>
      <c r="E40" s="4" t="s">
        <v>102</v>
      </c>
      <c r="F40" s="4"/>
      <c r="G40" s="4"/>
      <c r="H40" s="4"/>
      <c r="I40" s="4"/>
      <c r="J40" s="4"/>
      <c r="K40" s="4"/>
      <c r="L40" s="4"/>
      <c r="M40" s="4"/>
    </row>
    <row r="41" spans="1:13">
      <c r="A41" s="27" t="s">
        <v>257</v>
      </c>
      <c r="B41" s="27"/>
      <c r="C41" s="28"/>
      <c r="D41" s="27">
        <v>12</v>
      </c>
      <c r="E41" s="27" t="s">
        <v>102</v>
      </c>
      <c r="F41" s="27"/>
      <c r="G41" s="27"/>
      <c r="H41" s="27"/>
      <c r="I41" s="27"/>
      <c r="J41" s="27"/>
      <c r="K41" s="27"/>
      <c r="L41" s="27"/>
      <c r="M41" s="27"/>
    </row>
    <row r="42" spans="1:13">
      <c r="A42" s="4" t="s">
        <v>148</v>
      </c>
      <c r="B42" s="4"/>
      <c r="C42" s="4"/>
      <c r="D42" s="4"/>
      <c r="E42" s="4"/>
      <c r="F42" s="4"/>
      <c r="G42" s="4">
        <v>1.07</v>
      </c>
      <c r="H42" s="4" t="s">
        <v>147</v>
      </c>
      <c r="I42" s="4">
        <v>12.83</v>
      </c>
      <c r="J42" s="4" t="s">
        <v>149</v>
      </c>
      <c r="K42" s="6">
        <f>I42*G42</f>
        <v>13.728100000000001</v>
      </c>
      <c r="L42" s="4"/>
      <c r="M42" s="4"/>
    </row>
    <row r="43" spans="1:13">
      <c r="A43" s="4" t="s">
        <v>150</v>
      </c>
      <c r="B43" s="4"/>
      <c r="C43" s="4"/>
      <c r="D43" s="4"/>
      <c r="E43" s="4"/>
      <c r="F43" s="4"/>
      <c r="G43" s="4">
        <v>1</v>
      </c>
      <c r="H43" s="4" t="s">
        <v>151</v>
      </c>
      <c r="I43" s="4">
        <v>3.26</v>
      </c>
      <c r="J43" s="4" t="s">
        <v>151</v>
      </c>
      <c r="K43" s="6">
        <f>I43*G43</f>
        <v>3.26</v>
      </c>
      <c r="L43" s="4"/>
      <c r="M43" s="4"/>
    </row>
    <row r="44" spans="1:13">
      <c r="A44" s="4" t="s">
        <v>152</v>
      </c>
      <c r="B44" s="4"/>
      <c r="C44" s="4"/>
      <c r="D44" s="4"/>
      <c r="E44" s="4"/>
      <c r="F44" s="4"/>
      <c r="G44" s="4">
        <v>1</v>
      </c>
      <c r="H44" s="4" t="s">
        <v>151</v>
      </c>
      <c r="I44" s="4">
        <v>2.4500000000000002</v>
      </c>
      <c r="J44" s="4" t="s">
        <v>151</v>
      </c>
      <c r="K44" s="6">
        <f>I44*G44</f>
        <v>2.4500000000000002</v>
      </c>
      <c r="L44" s="4"/>
      <c r="M44" s="4"/>
    </row>
    <row r="45" spans="1:13">
      <c r="A45" s="27" t="s">
        <v>153</v>
      </c>
      <c r="B45" s="27"/>
      <c r="C45" s="27"/>
      <c r="D45" s="27"/>
      <c r="E45" s="27"/>
      <c r="F45" s="27"/>
      <c r="G45" s="27">
        <v>1</v>
      </c>
      <c r="H45" s="27" t="s">
        <v>151</v>
      </c>
      <c r="I45" s="27">
        <v>3.26</v>
      </c>
      <c r="J45" s="27" t="s">
        <v>151</v>
      </c>
      <c r="K45" s="6">
        <f>I45*G45</f>
        <v>3.26</v>
      </c>
      <c r="L45" s="27"/>
      <c r="M45" s="27"/>
    </row>
    <row r="46" spans="1:13">
      <c r="A46" s="4" t="s">
        <v>154</v>
      </c>
      <c r="B46" s="4"/>
      <c r="C46" s="4"/>
      <c r="D46" s="4"/>
      <c r="E46" s="4"/>
      <c r="F46" s="4"/>
      <c r="G46" s="4">
        <v>1</v>
      </c>
      <c r="H46" s="4" t="s">
        <v>151</v>
      </c>
      <c r="I46" s="4">
        <v>2.4500000000000002</v>
      </c>
      <c r="J46" s="4" t="s">
        <v>151</v>
      </c>
      <c r="K46" s="6">
        <f>I46*G46</f>
        <v>2.4500000000000002</v>
      </c>
      <c r="L46" s="4"/>
      <c r="M46" s="4"/>
    </row>
    <row r="47" spans="1:13">
      <c r="A47" s="4" t="s">
        <v>155</v>
      </c>
      <c r="B47" s="4"/>
      <c r="C47" s="4"/>
      <c r="D47" s="4"/>
      <c r="E47" s="4"/>
      <c r="F47" s="4"/>
      <c r="G47" s="4">
        <v>1.7</v>
      </c>
      <c r="H47" s="4" t="s">
        <v>7</v>
      </c>
      <c r="I47" s="4">
        <v>10.050000000000001</v>
      </c>
      <c r="J47" s="4" t="s">
        <v>156</v>
      </c>
      <c r="K47" s="6">
        <f>I47*G47</f>
        <v>17.085000000000001</v>
      </c>
      <c r="L47" s="4"/>
      <c r="M47" s="4"/>
    </row>
    <row r="48" spans="1:13">
      <c r="A48" s="4" t="s">
        <v>157</v>
      </c>
      <c r="B48" s="4"/>
      <c r="C48" s="4"/>
      <c r="D48" s="4"/>
      <c r="E48" s="4"/>
      <c r="F48" s="4"/>
      <c r="G48" s="4">
        <v>1.5</v>
      </c>
      <c r="H48" s="4" t="s">
        <v>7</v>
      </c>
      <c r="I48" s="4">
        <v>10.69</v>
      </c>
      <c r="J48" s="4" t="s">
        <v>158</v>
      </c>
      <c r="K48" s="6">
        <f>I48*G48</f>
        <v>16.035</v>
      </c>
      <c r="L48" s="4"/>
      <c r="M48" s="4"/>
    </row>
    <row r="49" spans="1:11">
      <c r="K49" s="106">
        <f>SUM(K2:K48)</f>
        <v>99.588099999999997</v>
      </c>
    </row>
    <row r="50" spans="1:11">
      <c r="A50" s="23" t="s">
        <v>258</v>
      </c>
    </row>
    <row r="51" spans="1:11">
      <c r="A51" s="24" t="s">
        <v>61</v>
      </c>
    </row>
    <row r="52" spans="1:11">
      <c r="A52" s="25" t="s">
        <v>25</v>
      </c>
    </row>
    <row r="53" spans="1:11">
      <c r="A53" s="25" t="s">
        <v>17</v>
      </c>
    </row>
    <row r="54" spans="1:11">
      <c r="A54" s="25" t="s">
        <v>19</v>
      </c>
    </row>
    <row r="55" spans="1:11">
      <c r="A55" s="24" t="s">
        <v>31</v>
      </c>
    </row>
    <row r="56" spans="1:11">
      <c r="A56" s="25" t="s">
        <v>34</v>
      </c>
    </row>
    <row r="57" spans="1:11">
      <c r="A57" s="24" t="s">
        <v>40</v>
      </c>
    </row>
    <row r="58" spans="1:11">
      <c r="A58" s="24" t="s">
        <v>42</v>
      </c>
    </row>
    <row r="59" spans="1:11">
      <c r="A59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30FC-2D91-4430-B7A0-4BD5CC97DD53}">
  <dimension ref="A1:K38"/>
  <sheetViews>
    <sheetView workbookViewId="0">
      <pane ySplit="1" topLeftCell="A27" activePane="bottomLeft" state="frozen"/>
      <selection pane="bottomLeft" activeCell="J38" sqref="J38"/>
    </sheetView>
  </sheetViews>
  <sheetFormatPr defaultRowHeight="15"/>
  <cols>
    <col min="1" max="1" width="11.5703125" style="33" bestFit="1" customWidth="1"/>
    <col min="2" max="2" width="47.140625" bestFit="1" customWidth="1"/>
    <col min="3" max="3" width="8.42578125" bestFit="1" customWidth="1"/>
    <col min="4" max="4" width="7.140625" customWidth="1"/>
    <col min="5" max="5" width="24.140625" customWidth="1"/>
    <col min="6" max="6" width="12.5703125" bestFit="1" customWidth="1"/>
    <col min="7" max="7" width="5.85546875" customWidth="1"/>
    <col min="8" max="8" width="7.140625" bestFit="1" customWidth="1"/>
    <col min="9" max="9" width="11.85546875" bestFit="1" customWidth="1"/>
    <col min="10" max="10" width="9.42578125" bestFit="1" customWidth="1"/>
    <col min="11" max="11" width="18.42578125" bestFit="1" customWidth="1"/>
  </cols>
  <sheetData>
    <row r="1" spans="1:11">
      <c r="A1" s="54" t="s">
        <v>92</v>
      </c>
      <c r="B1" s="31" t="s">
        <v>93</v>
      </c>
      <c r="C1" s="32" t="s">
        <v>94</v>
      </c>
      <c r="D1" s="32" t="s">
        <v>98</v>
      </c>
      <c r="E1" s="32" t="s">
        <v>96</v>
      </c>
      <c r="F1" s="32" t="s">
        <v>97</v>
      </c>
      <c r="G1" s="32" t="s">
        <v>98</v>
      </c>
      <c r="H1" s="32" t="s">
        <v>99</v>
      </c>
      <c r="I1" s="41" t="s">
        <v>98</v>
      </c>
      <c r="J1" s="32" t="s">
        <v>100</v>
      </c>
      <c r="K1" s="25" t="s">
        <v>253</v>
      </c>
    </row>
    <row r="2" spans="1:11">
      <c r="A2" s="55">
        <v>280062</v>
      </c>
      <c r="B2" s="34" t="s">
        <v>9</v>
      </c>
      <c r="C2" s="42"/>
      <c r="D2" s="42"/>
      <c r="E2" s="4"/>
      <c r="F2" s="37">
        <v>2</v>
      </c>
      <c r="G2" s="37" t="s">
        <v>7</v>
      </c>
      <c r="H2" s="45">
        <v>2.19</v>
      </c>
      <c r="I2" s="46" t="s">
        <v>146</v>
      </c>
      <c r="J2" s="16">
        <f>H2*F2</f>
        <v>4.38</v>
      </c>
      <c r="K2" s="39"/>
    </row>
    <row r="3" spans="1:11">
      <c r="A3" s="55" t="s">
        <v>159</v>
      </c>
      <c r="B3" s="35" t="s">
        <v>103</v>
      </c>
      <c r="C3" s="42"/>
      <c r="D3" s="42"/>
      <c r="E3" s="4"/>
      <c r="F3" s="37">
        <v>0.5</v>
      </c>
      <c r="G3" s="37" t="s">
        <v>7</v>
      </c>
      <c r="H3" s="45">
        <v>1.97</v>
      </c>
      <c r="I3" s="46" t="s">
        <v>104</v>
      </c>
      <c r="J3" s="16">
        <f>H3*F3</f>
        <v>0.98499999999999999</v>
      </c>
      <c r="K3" s="39"/>
    </row>
    <row r="4" spans="1:11">
      <c r="A4" s="55">
        <v>266071</v>
      </c>
      <c r="B4" s="35" t="s">
        <v>105</v>
      </c>
      <c r="C4" s="42"/>
      <c r="D4" s="42"/>
      <c r="E4" s="4"/>
      <c r="F4" s="37">
        <v>0.5</v>
      </c>
      <c r="G4" s="37" t="s">
        <v>7</v>
      </c>
      <c r="H4" s="45">
        <v>1.97</v>
      </c>
      <c r="I4" s="46" t="s">
        <v>104</v>
      </c>
      <c r="J4" s="16">
        <f>H4*F4</f>
        <v>0.98499999999999999</v>
      </c>
      <c r="K4" s="39"/>
    </row>
    <row r="5" spans="1:11">
      <c r="A5" s="55">
        <v>211702</v>
      </c>
      <c r="B5" s="35" t="s">
        <v>12</v>
      </c>
      <c r="C5" s="42"/>
      <c r="D5" s="42"/>
      <c r="E5" s="4"/>
      <c r="F5" s="37">
        <v>3</v>
      </c>
      <c r="G5" s="37" t="s">
        <v>7</v>
      </c>
      <c r="H5" s="45">
        <v>1.57</v>
      </c>
      <c r="I5" s="46" t="s">
        <v>146</v>
      </c>
      <c r="J5" s="14">
        <f>H5*F5</f>
        <v>4.71</v>
      </c>
      <c r="K5" s="39"/>
    </row>
    <row r="6" spans="1:11">
      <c r="A6" s="55">
        <v>21100</v>
      </c>
      <c r="B6" s="34" t="s">
        <v>114</v>
      </c>
      <c r="C6" s="42"/>
      <c r="D6" s="42"/>
      <c r="E6" s="4"/>
      <c r="F6" s="37">
        <v>0.5</v>
      </c>
      <c r="G6" s="37" t="s">
        <v>7</v>
      </c>
      <c r="H6" s="45">
        <v>13.19</v>
      </c>
      <c r="I6" s="46" t="s">
        <v>146</v>
      </c>
      <c r="J6" s="16">
        <f>H6*F6</f>
        <v>6.5949999999999998</v>
      </c>
      <c r="K6" s="39"/>
    </row>
    <row r="7" spans="1:11">
      <c r="A7" s="55">
        <v>17319</v>
      </c>
      <c r="B7" s="34" t="s">
        <v>115</v>
      </c>
      <c r="C7" s="42"/>
      <c r="D7" s="42"/>
      <c r="E7" s="4"/>
      <c r="F7" s="37">
        <v>0.5</v>
      </c>
      <c r="G7" s="37" t="s">
        <v>7</v>
      </c>
      <c r="H7" s="45">
        <v>9.89</v>
      </c>
      <c r="I7" s="46" t="s">
        <v>146</v>
      </c>
      <c r="J7" s="16">
        <f>H7*F7</f>
        <v>4.9450000000000003</v>
      </c>
      <c r="K7" s="39"/>
    </row>
    <row r="8" spans="1:11">
      <c r="A8" s="55">
        <v>978553</v>
      </c>
      <c r="B8" s="35" t="s">
        <v>160</v>
      </c>
      <c r="C8" s="42"/>
      <c r="D8" s="42"/>
      <c r="E8" s="4"/>
      <c r="F8" s="37">
        <v>4</v>
      </c>
      <c r="G8" s="37" t="s">
        <v>161</v>
      </c>
      <c r="H8" s="45">
        <v>2.76</v>
      </c>
      <c r="I8" s="46"/>
      <c r="J8" s="16">
        <f>H8*F8</f>
        <v>11.04</v>
      </c>
      <c r="K8" s="39"/>
    </row>
    <row r="9" spans="1:11">
      <c r="A9" s="55">
        <v>732497</v>
      </c>
      <c r="B9" s="35" t="s">
        <v>162</v>
      </c>
      <c r="C9" s="42">
        <v>6</v>
      </c>
      <c r="D9" s="42" t="s">
        <v>7</v>
      </c>
      <c r="E9" s="4" t="s">
        <v>163</v>
      </c>
      <c r="F9" s="37">
        <v>3</v>
      </c>
      <c r="G9" s="37" t="s">
        <v>146</v>
      </c>
      <c r="H9" s="45">
        <v>21.99</v>
      </c>
      <c r="I9" s="46" t="s">
        <v>164</v>
      </c>
      <c r="J9" s="16">
        <f>H9</f>
        <v>21.99</v>
      </c>
      <c r="K9" s="39" t="s">
        <v>259</v>
      </c>
    </row>
    <row r="10" spans="1:11">
      <c r="A10" s="55">
        <v>745082</v>
      </c>
      <c r="B10" s="35" t="s">
        <v>131</v>
      </c>
      <c r="C10" s="42"/>
      <c r="D10" s="42"/>
      <c r="E10" s="4"/>
      <c r="F10" s="20" t="s">
        <v>165</v>
      </c>
      <c r="G10" s="20" t="s">
        <v>161</v>
      </c>
      <c r="H10" s="20">
        <v>0.59</v>
      </c>
      <c r="I10" s="52" t="s">
        <v>132</v>
      </c>
      <c r="J10" s="20"/>
      <c r="K10" s="39" t="s">
        <v>260</v>
      </c>
    </row>
    <row r="11" spans="1:11">
      <c r="A11" s="55">
        <v>431311</v>
      </c>
      <c r="B11" s="35" t="s">
        <v>166</v>
      </c>
      <c r="C11" s="42"/>
      <c r="D11" s="42"/>
      <c r="E11" s="4"/>
      <c r="F11" s="37">
        <v>6</v>
      </c>
      <c r="G11" s="37" t="s">
        <v>161</v>
      </c>
      <c r="H11" s="45">
        <v>2.2000000000000002</v>
      </c>
      <c r="I11" s="46" t="s">
        <v>167</v>
      </c>
      <c r="J11" s="16">
        <f>H11*F11</f>
        <v>13.200000000000001</v>
      </c>
      <c r="K11" s="39"/>
    </row>
    <row r="12" spans="1:11">
      <c r="A12" s="55">
        <v>503520</v>
      </c>
      <c r="B12" s="30" t="s">
        <v>168</v>
      </c>
      <c r="C12" s="42">
        <v>12</v>
      </c>
      <c r="D12" s="42" t="s">
        <v>147</v>
      </c>
      <c r="E12" s="4"/>
      <c r="F12" s="37">
        <v>9</v>
      </c>
      <c r="G12" s="37" t="s">
        <v>147</v>
      </c>
      <c r="H12" s="45">
        <v>1.55</v>
      </c>
      <c r="I12" s="46" t="s">
        <v>147</v>
      </c>
      <c r="J12" s="14">
        <f>H12*F12</f>
        <v>13.950000000000001</v>
      </c>
      <c r="K12" s="39" t="s">
        <v>261</v>
      </c>
    </row>
    <row r="13" spans="1:11">
      <c r="A13" s="55">
        <v>278612</v>
      </c>
      <c r="B13" s="29" t="s">
        <v>169</v>
      </c>
      <c r="C13" s="42">
        <v>12</v>
      </c>
      <c r="D13" s="42" t="s">
        <v>147</v>
      </c>
      <c r="E13" s="4"/>
      <c r="F13" s="37">
        <v>6</v>
      </c>
      <c r="G13" s="37" t="s">
        <v>147</v>
      </c>
      <c r="H13" s="45">
        <v>1.89</v>
      </c>
      <c r="I13" s="46" t="s">
        <v>147</v>
      </c>
      <c r="J13" s="16">
        <f>H13*F13</f>
        <v>11.34</v>
      </c>
      <c r="K13" s="39" t="s">
        <v>262</v>
      </c>
    </row>
    <row r="14" spans="1:11">
      <c r="A14" s="55">
        <v>277977</v>
      </c>
      <c r="B14" s="29" t="s">
        <v>145</v>
      </c>
      <c r="C14" s="42"/>
      <c r="D14" s="42"/>
      <c r="E14" s="4"/>
      <c r="F14" s="37">
        <v>1</v>
      </c>
      <c r="G14" s="37" t="s">
        <v>7</v>
      </c>
      <c r="H14" s="45">
        <v>0.65</v>
      </c>
      <c r="I14" s="46" t="s">
        <v>104</v>
      </c>
      <c r="J14" s="16">
        <f>H14</f>
        <v>0.65</v>
      </c>
      <c r="K14" s="39"/>
    </row>
    <row r="15" spans="1:11">
      <c r="A15" s="55">
        <v>114522</v>
      </c>
      <c r="B15" s="5" t="s">
        <v>170</v>
      </c>
      <c r="C15" s="42">
        <v>1</v>
      </c>
      <c r="D15" s="42" t="s">
        <v>171</v>
      </c>
      <c r="E15" s="4"/>
      <c r="F15" s="37">
        <v>370</v>
      </c>
      <c r="G15" s="37" t="s">
        <v>161</v>
      </c>
      <c r="H15" s="45">
        <v>3.29</v>
      </c>
      <c r="I15" s="46" t="s">
        <v>172</v>
      </c>
      <c r="J15" s="16">
        <f>H15</f>
        <v>3.29</v>
      </c>
      <c r="K15" s="39"/>
    </row>
    <row r="16" spans="1:11">
      <c r="A16" s="55">
        <v>114575</v>
      </c>
      <c r="B16" s="5" t="s">
        <v>173</v>
      </c>
      <c r="C16" s="42">
        <v>1</v>
      </c>
      <c r="D16" s="42" t="s">
        <v>171</v>
      </c>
      <c r="E16" s="4"/>
      <c r="F16" s="37">
        <v>370</v>
      </c>
      <c r="G16" s="37" t="s">
        <v>161</v>
      </c>
      <c r="H16" s="45">
        <v>3.29</v>
      </c>
      <c r="I16" s="46" t="s">
        <v>172</v>
      </c>
      <c r="J16" s="16">
        <f>H16</f>
        <v>3.29</v>
      </c>
      <c r="K16" s="39"/>
    </row>
    <row r="17" spans="1:11">
      <c r="A17" s="55">
        <v>114585</v>
      </c>
      <c r="B17" s="5" t="s">
        <v>174</v>
      </c>
      <c r="C17" s="42">
        <v>1</v>
      </c>
      <c r="D17" s="42" t="s">
        <v>171</v>
      </c>
      <c r="E17" s="4"/>
      <c r="F17" s="37">
        <v>370</v>
      </c>
      <c r="G17" s="37" t="s">
        <v>161</v>
      </c>
      <c r="H17" s="45">
        <v>3.29</v>
      </c>
      <c r="I17" s="46" t="s">
        <v>172</v>
      </c>
      <c r="J17" s="16">
        <f>H17</f>
        <v>3.29</v>
      </c>
      <c r="K17" s="39"/>
    </row>
    <row r="18" spans="1:11">
      <c r="A18" s="56">
        <v>114586</v>
      </c>
      <c r="B18" s="53" t="s">
        <v>175</v>
      </c>
      <c r="C18" s="43">
        <v>1</v>
      </c>
      <c r="D18" s="43" t="s">
        <v>171</v>
      </c>
      <c r="E18" s="27"/>
      <c r="F18" s="38">
        <v>370</v>
      </c>
      <c r="G18" s="37" t="s">
        <v>161</v>
      </c>
      <c r="H18" s="47">
        <v>3.29</v>
      </c>
      <c r="I18" s="46" t="s">
        <v>172</v>
      </c>
      <c r="J18" s="36">
        <f>H18</f>
        <v>3.29</v>
      </c>
      <c r="K18" s="40"/>
    </row>
    <row r="19" spans="1:11">
      <c r="A19" s="56">
        <v>297071</v>
      </c>
      <c r="B19" s="53" t="s">
        <v>176</v>
      </c>
      <c r="C19" s="43">
        <v>1</v>
      </c>
      <c r="D19" s="43" t="s">
        <v>171</v>
      </c>
      <c r="E19" s="27"/>
      <c r="F19" s="38">
        <v>370</v>
      </c>
      <c r="G19" s="37" t="s">
        <v>161</v>
      </c>
      <c r="H19" s="47">
        <v>3.29</v>
      </c>
      <c r="I19" s="46" t="s">
        <v>172</v>
      </c>
      <c r="J19" s="36">
        <f>H19</f>
        <v>3.29</v>
      </c>
      <c r="K19" s="40"/>
    </row>
    <row r="20" spans="1:11">
      <c r="A20" s="55" t="s">
        <v>177</v>
      </c>
      <c r="B20" s="5" t="s">
        <v>178</v>
      </c>
      <c r="C20" s="42">
        <v>1.5</v>
      </c>
      <c r="D20" s="42" t="s">
        <v>7</v>
      </c>
      <c r="E20" s="4"/>
      <c r="F20" s="37">
        <v>1.5</v>
      </c>
      <c r="G20" s="37" t="s">
        <v>7</v>
      </c>
      <c r="H20" s="45">
        <v>9.99</v>
      </c>
      <c r="I20" s="46" t="s">
        <v>158</v>
      </c>
      <c r="J20" s="16">
        <f>H20</f>
        <v>9.99</v>
      </c>
      <c r="K20" s="39"/>
    </row>
    <row r="21" spans="1:11">
      <c r="A21" s="56" t="s">
        <v>179</v>
      </c>
      <c r="B21" s="53" t="s">
        <v>180</v>
      </c>
      <c r="C21" s="43">
        <v>10</v>
      </c>
      <c r="D21" s="43" t="s">
        <v>181</v>
      </c>
      <c r="E21" s="27"/>
      <c r="F21" s="38">
        <v>4</v>
      </c>
      <c r="G21" s="38" t="s">
        <v>151</v>
      </c>
      <c r="H21" s="47">
        <v>1.69</v>
      </c>
      <c r="I21" s="48" t="s">
        <v>151</v>
      </c>
      <c r="J21" s="36">
        <f>H21*F21</f>
        <v>6.76</v>
      </c>
      <c r="K21" s="40" t="s">
        <v>263</v>
      </c>
    </row>
    <row r="22" spans="1:11">
      <c r="A22" s="55" t="s">
        <v>182</v>
      </c>
      <c r="B22" s="5" t="s">
        <v>183</v>
      </c>
      <c r="C22" s="42">
        <v>1</v>
      </c>
      <c r="D22" s="42" t="s">
        <v>184</v>
      </c>
      <c r="E22" s="4" t="s">
        <v>185</v>
      </c>
      <c r="F22" s="37">
        <v>1</v>
      </c>
      <c r="G22" s="37" t="s">
        <v>184</v>
      </c>
      <c r="H22" s="45">
        <v>4.99</v>
      </c>
      <c r="I22" s="46" t="s">
        <v>184</v>
      </c>
      <c r="J22" s="16">
        <f>H22</f>
        <v>4.99</v>
      </c>
      <c r="K22" s="39"/>
    </row>
    <row r="23" spans="1:11">
      <c r="A23" s="56" t="s">
        <v>186</v>
      </c>
      <c r="B23" s="53" t="s">
        <v>187</v>
      </c>
      <c r="C23" s="43">
        <v>6</v>
      </c>
      <c r="D23" s="43" t="s">
        <v>188</v>
      </c>
      <c r="E23" s="27" t="s">
        <v>189</v>
      </c>
      <c r="F23" s="38">
        <v>6</v>
      </c>
      <c r="G23" s="38" t="s">
        <v>102</v>
      </c>
      <c r="H23" s="47">
        <v>1.19</v>
      </c>
      <c r="I23" s="48" t="s">
        <v>102</v>
      </c>
      <c r="J23" s="36">
        <f>H23*F23</f>
        <v>7.14</v>
      </c>
      <c r="K23" s="40"/>
    </row>
    <row r="24" spans="1:11">
      <c r="A24" s="55" t="s">
        <v>190</v>
      </c>
      <c r="B24" s="5" t="s">
        <v>191</v>
      </c>
      <c r="C24" s="42">
        <v>6</v>
      </c>
      <c r="D24" s="42" t="s">
        <v>188</v>
      </c>
      <c r="E24" s="4" t="s">
        <v>189</v>
      </c>
      <c r="F24" s="37">
        <v>6</v>
      </c>
      <c r="G24" s="37" t="s">
        <v>102</v>
      </c>
      <c r="H24" s="45">
        <v>1.19</v>
      </c>
      <c r="I24" s="46" t="s">
        <v>102</v>
      </c>
      <c r="J24" s="16">
        <f>H24*F24</f>
        <v>7.14</v>
      </c>
      <c r="K24" s="39"/>
    </row>
    <row r="25" spans="1:11">
      <c r="A25" s="56" t="s">
        <v>192</v>
      </c>
      <c r="B25" s="53" t="s">
        <v>193</v>
      </c>
      <c r="C25" s="43">
        <v>1</v>
      </c>
      <c r="D25" s="43" t="s">
        <v>194</v>
      </c>
      <c r="E25" s="27" t="s">
        <v>195</v>
      </c>
      <c r="F25" s="38">
        <v>1</v>
      </c>
      <c r="G25" s="38" t="s">
        <v>194</v>
      </c>
      <c r="H25" s="47">
        <v>8.9600000000000009</v>
      </c>
      <c r="I25" s="48" t="s">
        <v>194</v>
      </c>
      <c r="J25" s="36">
        <f>H25</f>
        <v>8.9600000000000009</v>
      </c>
      <c r="K25" s="40"/>
    </row>
    <row r="26" spans="1:11">
      <c r="A26" s="55" t="s">
        <v>196</v>
      </c>
      <c r="B26" s="5" t="s">
        <v>197</v>
      </c>
      <c r="C26" s="42">
        <v>1</v>
      </c>
      <c r="D26" s="42" t="s">
        <v>198</v>
      </c>
      <c r="E26" s="4" t="s">
        <v>199</v>
      </c>
      <c r="F26" s="37">
        <v>1</v>
      </c>
      <c r="G26" s="37" t="s">
        <v>200</v>
      </c>
      <c r="H26" s="45">
        <v>2.29</v>
      </c>
      <c r="I26" s="46" t="s">
        <v>198</v>
      </c>
      <c r="J26" s="16">
        <f>H26</f>
        <v>2.29</v>
      </c>
      <c r="K26" s="39"/>
    </row>
    <row r="27" spans="1:11">
      <c r="A27" s="55" t="s">
        <v>201</v>
      </c>
      <c r="B27" s="5" t="s">
        <v>202</v>
      </c>
      <c r="C27" s="42">
        <v>1</v>
      </c>
      <c r="D27" s="42" t="s">
        <v>198</v>
      </c>
      <c r="E27" s="4" t="s">
        <v>203</v>
      </c>
      <c r="F27" s="37">
        <v>1</v>
      </c>
      <c r="G27" s="37" t="s">
        <v>198</v>
      </c>
      <c r="H27" s="45">
        <v>2.99</v>
      </c>
      <c r="I27" s="46" t="s">
        <v>198</v>
      </c>
      <c r="J27" s="16">
        <f>H27</f>
        <v>2.99</v>
      </c>
      <c r="K27" s="39"/>
    </row>
    <row r="28" spans="1:11">
      <c r="A28" s="55" t="s">
        <v>204</v>
      </c>
      <c r="B28" s="5" t="s">
        <v>205</v>
      </c>
      <c r="C28" s="42">
        <v>5</v>
      </c>
      <c r="D28" s="42" t="s">
        <v>7</v>
      </c>
      <c r="E28" s="4"/>
      <c r="F28" s="37">
        <v>5</v>
      </c>
      <c r="G28" s="37" t="s">
        <v>7</v>
      </c>
      <c r="H28" s="45">
        <v>7.29</v>
      </c>
      <c r="I28" s="46" t="s">
        <v>206</v>
      </c>
      <c r="J28" s="16">
        <f>H28</f>
        <v>7.29</v>
      </c>
      <c r="K28" s="39"/>
    </row>
    <row r="29" spans="1:11">
      <c r="A29" s="55" t="s">
        <v>207</v>
      </c>
      <c r="B29" s="5" t="s">
        <v>208</v>
      </c>
      <c r="C29" s="42">
        <v>1</v>
      </c>
      <c r="D29" s="42" t="s">
        <v>194</v>
      </c>
      <c r="E29" s="4" t="s">
        <v>199</v>
      </c>
      <c r="F29" s="37">
        <v>1</v>
      </c>
      <c r="G29" s="37" t="s">
        <v>194</v>
      </c>
      <c r="H29" s="45">
        <v>2.29</v>
      </c>
      <c r="I29" s="46" t="s">
        <v>194</v>
      </c>
      <c r="J29" s="16">
        <f>H29</f>
        <v>2.29</v>
      </c>
      <c r="K29" s="39"/>
    </row>
    <row r="30" spans="1:11">
      <c r="A30" s="55" t="s">
        <v>209</v>
      </c>
      <c r="B30" s="5" t="s">
        <v>210</v>
      </c>
      <c r="C30" s="42">
        <v>1.5</v>
      </c>
      <c r="D30" s="42" t="s">
        <v>7</v>
      </c>
      <c r="E30" s="4"/>
      <c r="F30" s="37">
        <v>1.5</v>
      </c>
      <c r="G30" s="37" t="s">
        <v>7</v>
      </c>
      <c r="H30" s="45">
        <v>3.29</v>
      </c>
      <c r="I30" s="46" t="s">
        <v>158</v>
      </c>
      <c r="J30" s="16">
        <f>H30</f>
        <v>3.29</v>
      </c>
      <c r="K30" s="39"/>
    </row>
    <row r="31" spans="1:11">
      <c r="A31" s="56" t="s">
        <v>211</v>
      </c>
      <c r="B31" s="53" t="s">
        <v>212</v>
      </c>
      <c r="C31" s="43">
        <v>1</v>
      </c>
      <c r="D31" s="43" t="s">
        <v>7</v>
      </c>
      <c r="E31" s="27"/>
      <c r="F31" s="38">
        <v>1</v>
      </c>
      <c r="G31" s="38" t="s">
        <v>7</v>
      </c>
      <c r="H31" s="47">
        <v>8.49</v>
      </c>
      <c r="I31" s="48" t="s">
        <v>7</v>
      </c>
      <c r="J31" s="36">
        <f>H31</f>
        <v>8.49</v>
      </c>
      <c r="K31" s="40"/>
    </row>
    <row r="32" spans="1:11">
      <c r="A32" s="56" t="s">
        <v>264</v>
      </c>
      <c r="B32" s="53" t="s">
        <v>265</v>
      </c>
      <c r="C32" s="43">
        <v>8</v>
      </c>
      <c r="D32" s="43" t="s">
        <v>102</v>
      </c>
      <c r="E32" s="27" t="s">
        <v>266</v>
      </c>
      <c r="F32" s="50"/>
      <c r="G32" s="50"/>
      <c r="H32" s="50">
        <v>1.6</v>
      </c>
      <c r="I32" s="51" t="s">
        <v>102</v>
      </c>
      <c r="J32" s="50"/>
      <c r="K32" s="40" t="s">
        <v>267</v>
      </c>
    </row>
    <row r="33" spans="1:11">
      <c r="A33" s="57" t="s">
        <v>268</v>
      </c>
      <c r="B33" s="5" t="s">
        <v>269</v>
      </c>
      <c r="C33" s="42">
        <v>2</v>
      </c>
      <c r="D33" s="42" t="s">
        <v>7</v>
      </c>
      <c r="E33" s="4"/>
      <c r="F33" s="20"/>
      <c r="G33" s="20"/>
      <c r="H33" s="20">
        <v>10.050000000000001</v>
      </c>
      <c r="I33" s="20" t="s">
        <v>144</v>
      </c>
      <c r="J33" s="20"/>
      <c r="K33" s="39" t="s">
        <v>144</v>
      </c>
    </row>
    <row r="34" spans="1:11">
      <c r="A34" s="57"/>
      <c r="B34" s="5" t="s">
        <v>213</v>
      </c>
      <c r="C34" s="42">
        <v>7</v>
      </c>
      <c r="D34" s="42" t="s">
        <v>102</v>
      </c>
      <c r="E34" s="4"/>
      <c r="F34" s="37">
        <v>4</v>
      </c>
      <c r="G34" s="37" t="s">
        <v>102</v>
      </c>
      <c r="H34" s="45">
        <v>2</v>
      </c>
      <c r="I34" s="45" t="s">
        <v>214</v>
      </c>
      <c r="J34" s="16">
        <f>H34*F34</f>
        <v>8</v>
      </c>
      <c r="K34" s="44">
        <v>3</v>
      </c>
    </row>
    <row r="35" spans="1:11">
      <c r="A35" s="57"/>
      <c r="B35" s="5" t="s">
        <v>215</v>
      </c>
      <c r="C35" s="42">
        <v>20</v>
      </c>
      <c r="D35" s="42" t="s">
        <v>102</v>
      </c>
      <c r="E35" s="4"/>
      <c r="F35" s="37">
        <v>20</v>
      </c>
      <c r="G35" s="37" t="s">
        <v>102</v>
      </c>
      <c r="H35" s="45">
        <v>0.6</v>
      </c>
      <c r="I35" s="45" t="s">
        <v>214</v>
      </c>
      <c r="J35" s="16">
        <f>H35*F35</f>
        <v>12</v>
      </c>
      <c r="K35" s="39"/>
    </row>
    <row r="38" spans="1:11">
      <c r="H38" s="49" t="s">
        <v>100</v>
      </c>
      <c r="J38" s="105">
        <f>SUM(J2:J35)</f>
        <v>202.84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15F5-5D08-4916-921B-2FBB2F7234CE}">
  <dimension ref="A1:K25"/>
  <sheetViews>
    <sheetView topLeftCell="B1" workbookViewId="0">
      <selection activeCell="H25" sqref="H25"/>
    </sheetView>
  </sheetViews>
  <sheetFormatPr defaultRowHeight="15"/>
  <cols>
    <col min="1" max="1" width="16.5703125" style="33" customWidth="1"/>
    <col min="2" max="2" width="41.140625" customWidth="1"/>
    <col min="5" max="5" width="22.140625" customWidth="1"/>
    <col min="6" max="6" width="18.140625" customWidth="1"/>
    <col min="7" max="7" width="11.140625" customWidth="1"/>
    <col min="8" max="8" width="10.7109375" customWidth="1"/>
    <col min="9" max="9" width="11.42578125" customWidth="1"/>
    <col min="10" max="10" width="13.85546875" customWidth="1"/>
    <col min="11" max="11" width="20" customWidth="1"/>
  </cols>
  <sheetData>
    <row r="1" spans="1:11">
      <c r="A1" s="61" t="s">
        <v>92</v>
      </c>
      <c r="B1" s="62" t="s">
        <v>93</v>
      </c>
      <c r="C1" s="63" t="s">
        <v>94</v>
      </c>
      <c r="D1" s="63" t="s">
        <v>98</v>
      </c>
      <c r="E1" s="63" t="s">
        <v>96</v>
      </c>
      <c r="F1" s="63" t="s">
        <v>97</v>
      </c>
      <c r="G1" s="63" t="s">
        <v>98</v>
      </c>
      <c r="H1" s="63" t="s">
        <v>99</v>
      </c>
      <c r="I1" s="64" t="s">
        <v>98</v>
      </c>
      <c r="J1" s="63" t="s">
        <v>100</v>
      </c>
      <c r="K1" s="16" t="s">
        <v>253</v>
      </c>
    </row>
    <row r="2" spans="1:11">
      <c r="A2" s="65">
        <v>979394</v>
      </c>
      <c r="B2" s="4" t="s">
        <v>216</v>
      </c>
      <c r="C2" s="37">
        <v>2</v>
      </c>
      <c r="D2" s="37" t="s">
        <v>217</v>
      </c>
      <c r="E2" s="4"/>
      <c r="F2" s="66">
        <v>2</v>
      </c>
      <c r="G2" s="66" t="s">
        <v>217</v>
      </c>
      <c r="H2" s="45">
        <v>3.99</v>
      </c>
      <c r="I2" s="45" t="s">
        <v>217</v>
      </c>
      <c r="J2" s="42">
        <f>H2*F2</f>
        <v>7.98</v>
      </c>
      <c r="K2" s="67"/>
    </row>
    <row r="3" spans="1:11">
      <c r="A3" s="65"/>
      <c r="B3" s="4" t="s">
        <v>215</v>
      </c>
      <c r="C3" s="37">
        <v>10</v>
      </c>
      <c r="D3" s="37" t="s">
        <v>102</v>
      </c>
      <c r="E3" s="4"/>
      <c r="F3" s="66">
        <v>10</v>
      </c>
      <c r="G3" s="66" t="s">
        <v>102</v>
      </c>
      <c r="H3" s="45">
        <v>0.6</v>
      </c>
      <c r="I3" s="45" t="s">
        <v>214</v>
      </c>
      <c r="J3" s="42">
        <f>H3*F3</f>
        <v>6</v>
      </c>
      <c r="K3" s="37"/>
    </row>
    <row r="4" spans="1:11">
      <c r="A4" s="33">
        <v>65730</v>
      </c>
      <c r="B4" s="68" t="s">
        <v>218</v>
      </c>
      <c r="C4" s="37">
        <v>1</v>
      </c>
      <c r="D4" s="37" t="s">
        <v>7</v>
      </c>
      <c r="E4" s="4"/>
      <c r="F4" s="66">
        <v>1</v>
      </c>
      <c r="G4" s="66" t="s">
        <v>7</v>
      </c>
      <c r="H4" s="45">
        <v>3.94</v>
      </c>
      <c r="I4" s="45" t="s">
        <v>7</v>
      </c>
      <c r="J4" s="42">
        <f>H4*F4</f>
        <v>3.94</v>
      </c>
      <c r="K4" s="37"/>
    </row>
    <row r="5" spans="1:11">
      <c r="A5" s="65" t="s">
        <v>182</v>
      </c>
      <c r="B5" s="68" t="s">
        <v>219</v>
      </c>
      <c r="C5" s="37">
        <v>1</v>
      </c>
      <c r="D5" s="37" t="s">
        <v>217</v>
      </c>
      <c r="E5" s="4"/>
      <c r="F5" s="66">
        <v>1</v>
      </c>
      <c r="G5" s="66" t="s">
        <v>217</v>
      </c>
      <c r="H5" s="45">
        <v>4.99</v>
      </c>
      <c r="I5" s="45" t="s">
        <v>217</v>
      </c>
      <c r="J5" s="42">
        <f>H5*F5</f>
        <v>4.99</v>
      </c>
      <c r="K5" s="37"/>
    </row>
    <row r="6" spans="1:11">
      <c r="A6" s="65" t="s">
        <v>220</v>
      </c>
      <c r="B6" s="68" t="s">
        <v>221</v>
      </c>
      <c r="C6" s="37">
        <v>1</v>
      </c>
      <c r="D6" s="37" t="s">
        <v>217</v>
      </c>
      <c r="E6" s="4"/>
      <c r="F6" s="66">
        <v>1</v>
      </c>
      <c r="G6" s="66" t="s">
        <v>217</v>
      </c>
      <c r="H6" s="45">
        <v>13.99</v>
      </c>
      <c r="I6" s="45" t="s">
        <v>217</v>
      </c>
      <c r="J6" s="42">
        <f>H6*F6</f>
        <v>13.99</v>
      </c>
      <c r="K6" s="37"/>
    </row>
    <row r="7" spans="1:11">
      <c r="A7" s="65" t="s">
        <v>222</v>
      </c>
      <c r="B7" s="68" t="s">
        <v>223</v>
      </c>
      <c r="C7" s="37">
        <v>1</v>
      </c>
      <c r="D7" s="37" t="s">
        <v>217</v>
      </c>
      <c r="E7" s="4"/>
      <c r="F7" s="66">
        <v>1</v>
      </c>
      <c r="G7" s="66" t="s">
        <v>217</v>
      </c>
      <c r="H7" s="45">
        <v>6.79</v>
      </c>
      <c r="I7" s="45" t="s">
        <v>217</v>
      </c>
      <c r="J7" s="42">
        <f>H7*F7</f>
        <v>6.79</v>
      </c>
      <c r="K7" s="37"/>
    </row>
    <row r="8" spans="1:11">
      <c r="A8" s="65" t="s">
        <v>224</v>
      </c>
      <c r="B8" s="68" t="s">
        <v>225</v>
      </c>
      <c r="C8" s="37">
        <v>1</v>
      </c>
      <c r="D8" s="37" t="s">
        <v>217</v>
      </c>
      <c r="E8" s="4"/>
      <c r="F8" s="66">
        <v>1</v>
      </c>
      <c r="G8" s="66" t="s">
        <v>217</v>
      </c>
      <c r="H8" s="45">
        <v>6.79</v>
      </c>
      <c r="I8" s="45" t="s">
        <v>217</v>
      </c>
      <c r="J8" s="42">
        <f>H8*F8</f>
        <v>6.79</v>
      </c>
      <c r="K8" s="37"/>
    </row>
    <row r="9" spans="1:11">
      <c r="A9" s="65" t="s">
        <v>226</v>
      </c>
      <c r="B9" s="68" t="s">
        <v>227</v>
      </c>
      <c r="C9" s="37">
        <v>2</v>
      </c>
      <c r="D9" s="37" t="s">
        <v>217</v>
      </c>
      <c r="E9" s="4"/>
      <c r="F9" s="66">
        <v>2</v>
      </c>
      <c r="G9" s="66" t="s">
        <v>217</v>
      </c>
      <c r="H9" s="45">
        <v>8.7899999999999991</v>
      </c>
      <c r="I9" s="45" t="s">
        <v>217</v>
      </c>
      <c r="J9" s="42">
        <f>H9*F9</f>
        <v>17.579999999999998</v>
      </c>
      <c r="K9" s="37"/>
    </row>
    <row r="10" spans="1:11">
      <c r="A10" s="65" t="s">
        <v>228</v>
      </c>
      <c r="B10" s="68" t="s">
        <v>229</v>
      </c>
      <c r="C10" s="37">
        <v>24</v>
      </c>
      <c r="D10" s="37" t="s">
        <v>217</v>
      </c>
      <c r="E10" s="4"/>
      <c r="F10" s="66">
        <v>24</v>
      </c>
      <c r="G10" s="66" t="s">
        <v>217</v>
      </c>
      <c r="H10" s="45">
        <v>1.62</v>
      </c>
      <c r="I10" s="45" t="s">
        <v>217</v>
      </c>
      <c r="J10" s="42">
        <f>H10*F10</f>
        <v>38.880000000000003</v>
      </c>
      <c r="K10" s="37"/>
    </row>
    <row r="11" spans="1:11">
      <c r="A11" s="65" t="s">
        <v>230</v>
      </c>
      <c r="B11" s="69" t="s">
        <v>231</v>
      </c>
      <c r="C11" s="37">
        <v>1</v>
      </c>
      <c r="D11" s="37" t="s">
        <v>217</v>
      </c>
      <c r="E11" s="4" t="s">
        <v>232</v>
      </c>
      <c r="F11" s="66">
        <v>1</v>
      </c>
      <c r="G11" s="66" t="s">
        <v>217</v>
      </c>
      <c r="H11" s="45">
        <v>3.29</v>
      </c>
      <c r="I11" s="45" t="s">
        <v>217</v>
      </c>
      <c r="J11" s="42">
        <f>H11*F11</f>
        <v>3.29</v>
      </c>
      <c r="K11" s="37"/>
    </row>
    <row r="12" spans="1:11">
      <c r="A12" s="65" t="s">
        <v>233</v>
      </c>
      <c r="B12" s="68" t="s">
        <v>234</v>
      </c>
      <c r="C12" s="37">
        <v>1</v>
      </c>
      <c r="D12" s="37" t="s">
        <v>217</v>
      </c>
      <c r="E12" s="4" t="s">
        <v>235</v>
      </c>
      <c r="F12" s="66">
        <v>1</v>
      </c>
      <c r="G12" s="66" t="s">
        <v>217</v>
      </c>
      <c r="H12" s="45">
        <v>1.59</v>
      </c>
      <c r="I12" s="45" t="s">
        <v>217</v>
      </c>
      <c r="J12" s="42">
        <f>H12*F12</f>
        <v>1.59</v>
      </c>
      <c r="K12" s="37"/>
    </row>
    <row r="13" spans="1:11">
      <c r="A13" s="70" t="s">
        <v>236</v>
      </c>
      <c r="B13" s="71" t="s">
        <v>237</v>
      </c>
      <c r="C13" s="38">
        <v>1</v>
      </c>
      <c r="D13" s="38" t="s">
        <v>217</v>
      </c>
      <c r="E13" s="27" t="s">
        <v>238</v>
      </c>
      <c r="F13" s="66">
        <v>1</v>
      </c>
      <c r="G13" s="72" t="s">
        <v>217</v>
      </c>
      <c r="H13" s="47">
        <v>1.69</v>
      </c>
      <c r="I13" s="47" t="s">
        <v>217</v>
      </c>
      <c r="J13" s="42">
        <f>H13*F13</f>
        <v>1.69</v>
      </c>
      <c r="K13" s="38"/>
    </row>
    <row r="14" spans="1:11" ht="19.5">
      <c r="A14" s="73" t="s">
        <v>239</v>
      </c>
      <c r="B14" s="74" t="s">
        <v>240</v>
      </c>
      <c r="C14" s="37">
        <v>3</v>
      </c>
      <c r="D14" s="37" t="s">
        <v>217</v>
      </c>
      <c r="E14" s="4"/>
      <c r="F14" s="66">
        <v>3</v>
      </c>
      <c r="G14" s="66" t="s">
        <v>217</v>
      </c>
      <c r="H14" s="45">
        <v>4.3899999999999997</v>
      </c>
      <c r="I14" s="45" t="s">
        <v>217</v>
      </c>
      <c r="J14" s="42">
        <f>H14*F14</f>
        <v>13.169999999999998</v>
      </c>
      <c r="K14" s="37"/>
    </row>
    <row r="15" spans="1:11" ht="19.5">
      <c r="A15" s="73" t="s">
        <v>241</v>
      </c>
      <c r="B15" s="74" t="s">
        <v>242</v>
      </c>
      <c r="C15" s="37">
        <v>1</v>
      </c>
      <c r="D15" s="37" t="s">
        <v>217</v>
      </c>
      <c r="E15" s="4"/>
      <c r="F15" s="66">
        <v>1</v>
      </c>
      <c r="G15" s="66" t="s">
        <v>217</v>
      </c>
      <c r="H15" s="45">
        <v>2.85</v>
      </c>
      <c r="I15" s="45" t="s">
        <v>217</v>
      </c>
      <c r="J15" s="42">
        <f>H15*F15</f>
        <v>2.85</v>
      </c>
      <c r="K15" s="37"/>
    </row>
    <row r="16" spans="1:11" ht="19.5">
      <c r="A16" s="73" t="s">
        <v>243</v>
      </c>
      <c r="B16" s="74" t="s">
        <v>244</v>
      </c>
      <c r="C16" s="37">
        <v>5</v>
      </c>
      <c r="D16" s="37" t="s">
        <v>7</v>
      </c>
      <c r="E16" s="4"/>
      <c r="F16" s="66">
        <v>5</v>
      </c>
      <c r="G16" s="66" t="s">
        <v>7</v>
      </c>
      <c r="H16" s="45">
        <v>1.64</v>
      </c>
      <c r="I16" s="45" t="s">
        <v>7</v>
      </c>
      <c r="J16" s="42">
        <f>H16*F16</f>
        <v>8.1999999999999993</v>
      </c>
      <c r="K16" s="37"/>
    </row>
    <row r="17" spans="1:11" ht="19.5">
      <c r="A17" s="73" t="s">
        <v>245</v>
      </c>
      <c r="B17" s="74" t="s">
        <v>246</v>
      </c>
      <c r="C17" s="37">
        <v>1</v>
      </c>
      <c r="D17" s="37" t="s">
        <v>217</v>
      </c>
      <c r="E17" s="4"/>
      <c r="F17" s="66">
        <v>1</v>
      </c>
      <c r="G17" s="66" t="s">
        <v>217</v>
      </c>
      <c r="H17" s="45">
        <v>3.73</v>
      </c>
      <c r="I17" s="45" t="s">
        <v>217</v>
      </c>
      <c r="J17" s="42">
        <f>H17*F17</f>
        <v>3.73</v>
      </c>
      <c r="K17" s="37"/>
    </row>
    <row r="18" spans="1:11" ht="19.5">
      <c r="A18" s="73">
        <v>278612</v>
      </c>
      <c r="B18" s="74" t="s">
        <v>247</v>
      </c>
      <c r="C18" s="37">
        <v>12</v>
      </c>
      <c r="D18" s="37" t="s">
        <v>217</v>
      </c>
      <c r="E18" s="4" t="s">
        <v>248</v>
      </c>
      <c r="F18" s="66">
        <v>12</v>
      </c>
      <c r="G18" s="66" t="s">
        <v>217</v>
      </c>
      <c r="H18" s="45">
        <v>2.12</v>
      </c>
      <c r="I18" s="45" t="s">
        <v>217</v>
      </c>
      <c r="J18" s="42">
        <f>H18*F18</f>
        <v>25.44</v>
      </c>
      <c r="K18" s="37"/>
    </row>
    <row r="19" spans="1:11" ht="19.5">
      <c r="A19" s="73">
        <v>286913</v>
      </c>
      <c r="B19" s="74" t="s">
        <v>249</v>
      </c>
      <c r="C19" s="37">
        <v>1</v>
      </c>
      <c r="D19" s="37" t="s">
        <v>217</v>
      </c>
      <c r="E19" s="4" t="s">
        <v>248</v>
      </c>
      <c r="F19" s="66">
        <v>1</v>
      </c>
      <c r="G19" s="66" t="s">
        <v>217</v>
      </c>
      <c r="H19" s="45">
        <v>1.98</v>
      </c>
      <c r="I19" s="45" t="s">
        <v>217</v>
      </c>
      <c r="J19" s="42">
        <f>H19*F19</f>
        <v>1.98</v>
      </c>
      <c r="K19" s="37"/>
    </row>
    <row r="20" spans="1:11" ht="19.5">
      <c r="A20" s="73">
        <v>988599</v>
      </c>
      <c r="B20" s="74" t="s">
        <v>250</v>
      </c>
      <c r="C20" s="37">
        <v>6</v>
      </c>
      <c r="D20" s="37" t="s">
        <v>217</v>
      </c>
      <c r="E20" s="4" t="s">
        <v>248</v>
      </c>
      <c r="F20" s="66">
        <v>6</v>
      </c>
      <c r="G20" s="66" t="s">
        <v>217</v>
      </c>
      <c r="H20" s="45">
        <v>2.4</v>
      </c>
      <c r="I20" s="45" t="s">
        <v>217</v>
      </c>
      <c r="J20" s="42">
        <f>H20*F20</f>
        <v>14.399999999999999</v>
      </c>
      <c r="K20" s="37"/>
    </row>
    <row r="21" spans="1:11" ht="19.5">
      <c r="A21" s="73"/>
      <c r="B21" s="74" t="s">
        <v>251</v>
      </c>
      <c r="C21" s="37">
        <v>1</v>
      </c>
      <c r="D21" s="37" t="s">
        <v>217</v>
      </c>
      <c r="E21" s="4"/>
      <c r="F21" s="66">
        <v>1</v>
      </c>
      <c r="G21" s="66" t="s">
        <v>217</v>
      </c>
      <c r="H21" s="45">
        <v>3</v>
      </c>
      <c r="I21" s="45" t="s">
        <v>217</v>
      </c>
      <c r="J21" s="42">
        <f>H21*F21</f>
        <v>3</v>
      </c>
      <c r="K21" s="37"/>
    </row>
    <row r="25" spans="1:11">
      <c r="G25" s="5" t="s">
        <v>100</v>
      </c>
      <c r="H25" s="103">
        <f>SUM(J2:J21)</f>
        <v>186.27999999999997</v>
      </c>
    </row>
  </sheetData>
  <hyperlinks>
    <hyperlink ref="B14" r:id="rId1" xr:uid="{CC8ACE9A-A682-43C5-98C5-E86A9DF1E920}"/>
    <hyperlink ref="B15" r:id="rId2" xr:uid="{0A0546C4-5794-4E68-81C9-0A373E23C4C1}"/>
    <hyperlink ref="B17" r:id="rId3" xr:uid="{04CE5ED6-FC77-4F17-8065-61CFFC90F16A}"/>
    <hyperlink ref="B18" r:id="rId4" xr:uid="{ADA3B9D0-EE6A-4C73-B2E2-25F156B3900C}"/>
    <hyperlink ref="B16" r:id="rId5" xr:uid="{35250F1A-CED3-4A98-9F42-C910768652BF}"/>
    <hyperlink ref="B19" r:id="rId6" xr:uid="{F54AB716-787A-4623-9AE6-0922B4BA4A54}"/>
    <hyperlink ref="B20" r:id="rId7" xr:uid="{B9A56437-DC08-4907-9C04-614A5AF9342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A788-C34F-49C4-A8DC-4A8D83D262C9}">
  <dimension ref="A1:K9"/>
  <sheetViews>
    <sheetView workbookViewId="0">
      <selection activeCell="H9" sqref="H9"/>
    </sheetView>
  </sheetViews>
  <sheetFormatPr defaultRowHeight="15"/>
  <cols>
    <col min="1" max="1" width="28.28515625" customWidth="1"/>
    <col min="2" max="2" width="18.5703125" customWidth="1"/>
    <col min="3" max="3" width="14" customWidth="1"/>
    <col min="5" max="5" width="23.42578125" customWidth="1"/>
    <col min="6" max="6" width="21.7109375" customWidth="1"/>
    <col min="11" max="11" width="28" customWidth="1"/>
  </cols>
  <sheetData>
    <row r="1" spans="1:11" ht="21">
      <c r="A1" s="82" t="s">
        <v>92</v>
      </c>
      <c r="B1" s="83" t="s">
        <v>93</v>
      </c>
      <c r="C1" s="84" t="s">
        <v>94</v>
      </c>
      <c r="D1" s="84" t="s">
        <v>98</v>
      </c>
      <c r="E1" s="84" t="s">
        <v>96</v>
      </c>
      <c r="F1" s="84" t="s">
        <v>97</v>
      </c>
      <c r="G1" s="84" t="s">
        <v>98</v>
      </c>
      <c r="H1" s="84" t="s">
        <v>99</v>
      </c>
      <c r="I1" s="85" t="s">
        <v>98</v>
      </c>
      <c r="J1" s="84" t="s">
        <v>100</v>
      </c>
      <c r="K1" s="86" t="s">
        <v>253</v>
      </c>
    </row>
    <row r="2" spans="1:11" ht="21">
      <c r="A2" s="75">
        <v>979394</v>
      </c>
      <c r="B2" s="76" t="s">
        <v>252</v>
      </c>
      <c r="C2" s="77">
        <v>24</v>
      </c>
      <c r="D2" s="77" t="s">
        <v>217</v>
      </c>
      <c r="E2" s="76"/>
      <c r="F2" s="78">
        <v>24</v>
      </c>
      <c r="G2" s="78" t="s">
        <v>217</v>
      </c>
      <c r="H2" s="79">
        <v>2.12</v>
      </c>
      <c r="I2" s="79" t="s">
        <v>217</v>
      </c>
      <c r="J2" s="80">
        <f>H2*F2</f>
        <v>50.88</v>
      </c>
      <c r="K2" s="81"/>
    </row>
    <row r="8" spans="1:11" ht="15.75">
      <c r="F8" s="59" t="s">
        <v>100</v>
      </c>
      <c r="G8" s="104">
        <v>51</v>
      </c>
    </row>
    <row r="9" spans="1:11">
      <c r="H9" s="1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52B8-ACEA-49EB-8843-7A65FDFD2143}">
  <dimension ref="A1:J23"/>
  <sheetViews>
    <sheetView workbookViewId="0">
      <selection activeCell="G23" sqref="G23:H23"/>
    </sheetView>
  </sheetViews>
  <sheetFormatPr defaultRowHeight="15"/>
  <cols>
    <col min="1" max="1" width="19.7109375" customWidth="1"/>
    <col min="2" max="2" width="22.85546875" customWidth="1"/>
    <col min="3" max="3" width="15.7109375" customWidth="1"/>
    <col min="5" max="5" width="18" customWidth="1"/>
    <col min="6" max="6" width="18.140625" customWidth="1"/>
    <col min="7" max="7" width="13.7109375" customWidth="1"/>
  </cols>
  <sheetData>
    <row r="1" spans="1:10" ht="21">
      <c r="A1" s="82" t="s">
        <v>92</v>
      </c>
      <c r="B1" s="83" t="s">
        <v>93</v>
      </c>
      <c r="C1" s="84" t="s">
        <v>94</v>
      </c>
      <c r="D1" s="84" t="s">
        <v>98</v>
      </c>
      <c r="E1" s="84" t="s">
        <v>96</v>
      </c>
      <c r="F1" s="84" t="s">
        <v>97</v>
      </c>
      <c r="G1" s="84" t="s">
        <v>98</v>
      </c>
      <c r="H1" s="84" t="s">
        <v>99</v>
      </c>
      <c r="I1" s="85" t="s">
        <v>98</v>
      </c>
      <c r="J1" s="84" t="s">
        <v>100</v>
      </c>
    </row>
    <row r="2" spans="1:10">
      <c r="A2" s="107">
        <v>979394</v>
      </c>
      <c r="B2" s="97" t="s">
        <v>252</v>
      </c>
      <c r="C2" s="97">
        <v>24</v>
      </c>
      <c r="D2" s="3" t="s">
        <v>217</v>
      </c>
      <c r="E2" s="98"/>
      <c r="F2" s="98">
        <v>24</v>
      </c>
      <c r="G2" s="99" t="s">
        <v>217</v>
      </c>
      <c r="H2" s="100">
        <v>2.12</v>
      </c>
      <c r="I2" s="62" t="s">
        <v>217</v>
      </c>
      <c r="J2" s="101">
        <f>H2*F2</f>
        <v>50.88</v>
      </c>
    </row>
    <row r="3" spans="1:10">
      <c r="A3" s="107" t="s">
        <v>226</v>
      </c>
      <c r="B3" s="97" t="s">
        <v>270</v>
      </c>
      <c r="C3" s="97">
        <v>2</v>
      </c>
      <c r="D3" s="3" t="s">
        <v>217</v>
      </c>
      <c r="E3" s="98"/>
      <c r="F3" s="98">
        <v>2</v>
      </c>
      <c r="G3" s="99" t="s">
        <v>217</v>
      </c>
      <c r="H3" s="100">
        <v>8.7899999999999991</v>
      </c>
      <c r="I3" s="62" t="s">
        <v>217</v>
      </c>
      <c r="J3" s="101">
        <f>H3*F3</f>
        <v>17.579999999999998</v>
      </c>
    </row>
    <row r="4" spans="1:10">
      <c r="A4" s="107"/>
      <c r="B4" s="97" t="s">
        <v>215</v>
      </c>
      <c r="C4" s="97">
        <v>30</v>
      </c>
      <c r="D4" s="3" t="s">
        <v>102</v>
      </c>
      <c r="E4" s="98"/>
      <c r="F4" s="98">
        <v>30</v>
      </c>
      <c r="G4" s="99" t="s">
        <v>102</v>
      </c>
      <c r="H4" s="100">
        <v>0.6</v>
      </c>
      <c r="I4" s="62" t="s">
        <v>214</v>
      </c>
      <c r="J4" s="101">
        <f>H4*F4</f>
        <v>18</v>
      </c>
    </row>
    <row r="5" spans="1:10">
      <c r="A5" s="96"/>
      <c r="B5" s="97" t="s">
        <v>219</v>
      </c>
      <c r="C5" s="97">
        <v>10</v>
      </c>
      <c r="D5" s="3" t="s">
        <v>217</v>
      </c>
      <c r="E5" s="98"/>
      <c r="F5" s="98">
        <v>10</v>
      </c>
      <c r="G5" s="99" t="s">
        <v>217</v>
      </c>
      <c r="H5" s="100">
        <v>0.5</v>
      </c>
      <c r="I5" s="62" t="s">
        <v>217</v>
      </c>
      <c r="J5" s="101">
        <f>H5*F5</f>
        <v>5</v>
      </c>
    </row>
    <row r="6" spans="1:10">
      <c r="A6" s="96"/>
      <c r="B6" s="97" t="s">
        <v>271</v>
      </c>
      <c r="C6" s="97">
        <v>10</v>
      </c>
      <c r="D6" s="3" t="s">
        <v>7</v>
      </c>
      <c r="E6" s="98"/>
      <c r="F6" s="98">
        <v>10</v>
      </c>
      <c r="G6" s="99" t="s">
        <v>7</v>
      </c>
      <c r="H6" s="100">
        <v>1.57</v>
      </c>
      <c r="I6" s="62" t="s">
        <v>146</v>
      </c>
      <c r="J6" s="101">
        <f>H6*F6</f>
        <v>15.700000000000001</v>
      </c>
    </row>
    <row r="7" spans="1:10">
      <c r="A7" s="96"/>
      <c r="B7" s="97" t="s">
        <v>272</v>
      </c>
      <c r="C7" s="97">
        <v>6</v>
      </c>
      <c r="D7" s="3" t="s">
        <v>7</v>
      </c>
      <c r="E7" s="98"/>
      <c r="F7" s="98">
        <v>6</v>
      </c>
      <c r="G7" s="99" t="s">
        <v>7</v>
      </c>
      <c r="H7" s="100">
        <v>1.62</v>
      </c>
      <c r="I7" s="62" t="s">
        <v>7</v>
      </c>
      <c r="J7" s="101">
        <f>H7*F7</f>
        <v>9.7200000000000006</v>
      </c>
    </row>
    <row r="8" spans="1:10">
      <c r="A8" s="96"/>
      <c r="B8" s="97" t="s">
        <v>273</v>
      </c>
      <c r="C8" s="97">
        <v>2</v>
      </c>
      <c r="D8" s="3" t="s">
        <v>217</v>
      </c>
      <c r="E8" s="98"/>
      <c r="F8" s="98">
        <v>2</v>
      </c>
      <c r="G8" s="99" t="s">
        <v>217</v>
      </c>
      <c r="H8" s="100">
        <v>2.5</v>
      </c>
      <c r="I8" s="62" t="s">
        <v>217</v>
      </c>
      <c r="J8" s="101">
        <f>H8*F8</f>
        <v>5</v>
      </c>
    </row>
    <row r="9" spans="1:10">
      <c r="A9" s="96"/>
      <c r="B9" s="97" t="s">
        <v>274</v>
      </c>
      <c r="C9" s="97">
        <v>6</v>
      </c>
      <c r="D9" s="3" t="s">
        <v>275</v>
      </c>
      <c r="E9" s="98"/>
      <c r="F9" s="98">
        <v>6</v>
      </c>
      <c r="G9" s="99" t="s">
        <v>275</v>
      </c>
      <c r="H9" s="100">
        <v>1.8</v>
      </c>
      <c r="I9" s="62" t="s">
        <v>275</v>
      </c>
      <c r="J9" s="101">
        <f>H9*F9</f>
        <v>10.8</v>
      </c>
    </row>
    <row r="12" spans="1:10">
      <c r="F12" s="102" t="s">
        <v>100</v>
      </c>
      <c r="G12" s="103">
        <f>SUM(J2:J9)</f>
        <v>132.68</v>
      </c>
      <c r="H12" s="114">
        <f>G12*1.3</f>
        <v>172.48400000000001</v>
      </c>
    </row>
    <row r="16" spans="1:10">
      <c r="F16" s="4" t="s">
        <v>276</v>
      </c>
      <c r="G16" s="4" t="s">
        <v>277</v>
      </c>
      <c r="H16" s="4" t="s">
        <v>278</v>
      </c>
    </row>
    <row r="17" spans="6:8">
      <c r="F17" s="116">
        <v>2.2999999999999998</v>
      </c>
      <c r="G17" s="116">
        <f>H12</f>
        <v>172.48400000000001</v>
      </c>
      <c r="H17" s="4">
        <v>49</v>
      </c>
    </row>
    <row r="18" spans="6:8">
      <c r="F18" s="116">
        <v>4.03</v>
      </c>
      <c r="G18" s="116">
        <f>'Delivery  04.03'!I12</f>
        <v>113.65900000000001</v>
      </c>
      <c r="H18" s="4"/>
    </row>
    <row r="19" spans="6:8">
      <c r="F19" s="116">
        <v>5.03</v>
      </c>
      <c r="G19" s="116">
        <f>'Delivery 05.03'!I12</f>
        <v>39.207999999999998</v>
      </c>
      <c r="H19" s="4">
        <v>49</v>
      </c>
    </row>
    <row r="20" spans="6:8">
      <c r="F20" s="116">
        <v>9.0299999999999994</v>
      </c>
      <c r="G20" s="116">
        <f>'Delivery 09.03'!I32</f>
        <v>386.14499999999998</v>
      </c>
      <c r="H20" s="4">
        <v>49</v>
      </c>
    </row>
    <row r="21" spans="6:8">
      <c r="F21" s="116">
        <v>10.3</v>
      </c>
      <c r="G21" s="116">
        <f>'Delivery  10.03'!I31</f>
        <v>90.272000000000006</v>
      </c>
      <c r="H21" s="4"/>
    </row>
    <row r="22" spans="6:8">
      <c r="F22" s="116">
        <v>11.3</v>
      </c>
      <c r="G22" s="116">
        <v>453</v>
      </c>
      <c r="H22" s="4">
        <v>49</v>
      </c>
    </row>
    <row r="23" spans="6:8">
      <c r="G23" s="115">
        <f>SUM(G17:G22)</f>
        <v>1254.768</v>
      </c>
      <c r="H23" s="115">
        <f>SUM(H17:H22)</f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317B-E5D6-492D-A59F-16B859FA5A3F}">
  <dimension ref="A1:J12"/>
  <sheetViews>
    <sheetView workbookViewId="0">
      <selection activeCell="I12" sqref="I12"/>
    </sheetView>
  </sheetViews>
  <sheetFormatPr defaultRowHeight="15"/>
  <cols>
    <col min="1" max="1" width="21" customWidth="1"/>
    <col min="2" max="2" width="14.28515625" customWidth="1"/>
    <col min="3" max="3" width="18" customWidth="1"/>
    <col min="5" max="5" width="20.28515625" customWidth="1"/>
    <col min="6" max="6" width="20" customWidth="1"/>
  </cols>
  <sheetData>
    <row r="1" spans="1:10" ht="21">
      <c r="A1" s="82" t="s">
        <v>92</v>
      </c>
      <c r="B1" s="83" t="s">
        <v>93</v>
      </c>
      <c r="C1" s="84" t="s">
        <v>94</v>
      </c>
      <c r="D1" s="84" t="s">
        <v>98</v>
      </c>
      <c r="E1" s="84" t="s">
        <v>96</v>
      </c>
      <c r="F1" s="84" t="s">
        <v>97</v>
      </c>
      <c r="G1" s="84" t="s">
        <v>98</v>
      </c>
      <c r="H1" s="84" t="s">
        <v>99</v>
      </c>
      <c r="I1" s="85" t="s">
        <v>98</v>
      </c>
      <c r="J1" s="84" t="s">
        <v>100</v>
      </c>
    </row>
    <row r="2" spans="1:10">
      <c r="A2" s="107"/>
      <c r="B2" s="97" t="s">
        <v>272</v>
      </c>
      <c r="C2" s="97">
        <v>6</v>
      </c>
      <c r="D2" s="3" t="s">
        <v>7</v>
      </c>
      <c r="E2" s="98"/>
      <c r="F2" s="98">
        <v>6</v>
      </c>
      <c r="G2" s="99" t="s">
        <v>7</v>
      </c>
      <c r="H2" s="100">
        <v>1.62</v>
      </c>
      <c r="I2" s="62" t="s">
        <v>7</v>
      </c>
      <c r="J2" s="101">
        <f>H2*F2</f>
        <v>9.7200000000000006</v>
      </c>
    </row>
    <row r="3" spans="1:10">
      <c r="A3" s="107"/>
      <c r="B3" s="97" t="s">
        <v>279</v>
      </c>
      <c r="C3" s="97">
        <v>1</v>
      </c>
      <c r="D3" s="3" t="s">
        <v>7</v>
      </c>
      <c r="E3" s="98"/>
      <c r="F3" s="98">
        <v>1</v>
      </c>
      <c r="G3" s="99" t="s">
        <v>7</v>
      </c>
      <c r="H3" s="100">
        <v>3.94</v>
      </c>
      <c r="I3" s="62" t="s">
        <v>7</v>
      </c>
      <c r="J3" s="101">
        <f>H3*F3</f>
        <v>3.94</v>
      </c>
    </row>
    <row r="4" spans="1:10">
      <c r="A4" s="107"/>
      <c r="B4" s="97" t="s">
        <v>280</v>
      </c>
      <c r="C4" s="97">
        <v>1</v>
      </c>
      <c r="D4" s="3" t="s">
        <v>7</v>
      </c>
      <c r="E4" s="98"/>
      <c r="F4" s="98">
        <v>1</v>
      </c>
      <c r="G4" s="99" t="s">
        <v>7</v>
      </c>
      <c r="H4" s="100">
        <v>3.12</v>
      </c>
      <c r="I4" s="62" t="s">
        <v>7</v>
      </c>
      <c r="J4" s="101">
        <f>H4*F4</f>
        <v>3.12</v>
      </c>
    </row>
    <row r="5" spans="1:10">
      <c r="A5" s="96"/>
      <c r="B5" s="97" t="s">
        <v>281</v>
      </c>
      <c r="C5" s="97">
        <v>1</v>
      </c>
      <c r="D5" s="3" t="s">
        <v>7</v>
      </c>
      <c r="E5" s="98"/>
      <c r="F5" s="98">
        <v>1</v>
      </c>
      <c r="G5" s="99" t="s">
        <v>7</v>
      </c>
      <c r="H5" s="100">
        <v>2.19</v>
      </c>
      <c r="I5" s="62" t="s">
        <v>7</v>
      </c>
      <c r="J5" s="101">
        <f>H5*F5</f>
        <v>2.19</v>
      </c>
    </row>
    <row r="6" spans="1:10">
      <c r="A6" s="96"/>
      <c r="B6" s="97" t="s">
        <v>252</v>
      </c>
      <c r="C6" s="97">
        <v>24</v>
      </c>
      <c r="D6" s="3" t="s">
        <v>217</v>
      </c>
      <c r="E6" s="98"/>
      <c r="F6" s="98">
        <v>24</v>
      </c>
      <c r="G6" s="99" t="s">
        <v>217</v>
      </c>
      <c r="H6" s="100">
        <v>2.12</v>
      </c>
      <c r="I6" s="62" t="s">
        <v>217</v>
      </c>
      <c r="J6" s="101">
        <f>H6*F6</f>
        <v>50.88</v>
      </c>
    </row>
    <row r="7" spans="1:10">
      <c r="A7" s="96"/>
      <c r="B7" s="97" t="s">
        <v>270</v>
      </c>
      <c r="C7" s="97">
        <v>2</v>
      </c>
      <c r="D7" s="3" t="s">
        <v>217</v>
      </c>
      <c r="E7" s="98"/>
      <c r="F7" s="98">
        <v>2</v>
      </c>
      <c r="G7" s="99" t="s">
        <v>217</v>
      </c>
      <c r="H7" s="100">
        <v>8.7899999999999991</v>
      </c>
      <c r="I7" s="62" t="s">
        <v>217</v>
      </c>
      <c r="J7" s="101">
        <f>H7*F7</f>
        <v>17.579999999999998</v>
      </c>
    </row>
    <row r="8" spans="1:10">
      <c r="A8" s="96"/>
      <c r="B8" s="97"/>
      <c r="C8" s="97"/>
      <c r="D8" s="3"/>
      <c r="E8" s="98"/>
      <c r="F8" s="98"/>
      <c r="G8" s="99"/>
      <c r="H8" s="100"/>
      <c r="I8" s="62"/>
      <c r="J8" s="101"/>
    </row>
    <row r="9" spans="1:10">
      <c r="A9" s="96"/>
      <c r="B9" s="97"/>
      <c r="C9" s="97"/>
      <c r="D9" s="3"/>
      <c r="E9" s="98"/>
      <c r="F9" s="98"/>
      <c r="G9" s="99"/>
      <c r="H9" s="100"/>
      <c r="I9" s="62"/>
      <c r="J9" s="101"/>
    </row>
    <row r="12" spans="1:10">
      <c r="G12" s="25" t="s">
        <v>282</v>
      </c>
      <c r="H12" s="25">
        <f>SUM(J2:J7)</f>
        <v>87.43</v>
      </c>
      <c r="I12" s="114">
        <f>H12*1.3</f>
        <v>113.65900000000001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DF76-38FB-4AFC-A6A4-8865F7D0305D}">
  <dimension ref="A1:J12"/>
  <sheetViews>
    <sheetView workbookViewId="0">
      <selection activeCell="I12" sqref="I12"/>
    </sheetView>
  </sheetViews>
  <sheetFormatPr defaultRowHeight="15"/>
  <cols>
    <col min="1" max="1" width="25.42578125" customWidth="1"/>
    <col min="2" max="2" width="15" customWidth="1"/>
    <col min="3" max="3" width="12.85546875" customWidth="1"/>
    <col min="5" max="5" width="19.5703125" customWidth="1"/>
    <col min="6" max="6" width="19.42578125" customWidth="1"/>
  </cols>
  <sheetData>
    <row r="1" spans="1:10" ht="21">
      <c r="A1" s="82" t="s">
        <v>92</v>
      </c>
      <c r="B1" s="83" t="s">
        <v>93</v>
      </c>
      <c r="C1" s="84" t="s">
        <v>94</v>
      </c>
      <c r="D1" s="84" t="s">
        <v>98</v>
      </c>
      <c r="E1" s="84" t="s">
        <v>96</v>
      </c>
      <c r="F1" s="84" t="s">
        <v>97</v>
      </c>
      <c r="G1" s="84" t="s">
        <v>98</v>
      </c>
      <c r="H1" s="84" t="s">
        <v>99</v>
      </c>
      <c r="I1" s="85" t="s">
        <v>98</v>
      </c>
      <c r="J1" s="84" t="s">
        <v>100</v>
      </c>
    </row>
    <row r="2" spans="1:10">
      <c r="A2" s="107"/>
      <c r="B2" s="97" t="s">
        <v>283</v>
      </c>
      <c r="C2" s="97">
        <v>3</v>
      </c>
      <c r="D2" s="3" t="s">
        <v>7</v>
      </c>
      <c r="E2" s="98" t="s">
        <v>284</v>
      </c>
      <c r="F2" s="98">
        <v>3</v>
      </c>
      <c r="G2" s="99" t="s">
        <v>7</v>
      </c>
      <c r="H2" s="100">
        <v>3.99</v>
      </c>
      <c r="I2" s="62" t="s">
        <v>7</v>
      </c>
      <c r="J2" s="101">
        <f>H2*F2</f>
        <v>11.97</v>
      </c>
    </row>
    <row r="3" spans="1:10">
      <c r="A3" s="107"/>
      <c r="B3" s="97" t="s">
        <v>285</v>
      </c>
      <c r="C3" s="97">
        <v>1</v>
      </c>
      <c r="D3" s="3" t="s">
        <v>7</v>
      </c>
      <c r="E3" s="98"/>
      <c r="F3" s="98">
        <v>1</v>
      </c>
      <c r="G3" s="99" t="s">
        <v>7</v>
      </c>
      <c r="H3" s="100">
        <v>10.220000000000001</v>
      </c>
      <c r="I3" s="62" t="s">
        <v>7</v>
      </c>
      <c r="J3" s="101">
        <f>H3*F3</f>
        <v>10.220000000000001</v>
      </c>
    </row>
    <row r="4" spans="1:10">
      <c r="A4" s="107"/>
      <c r="B4" s="97" t="s">
        <v>286</v>
      </c>
      <c r="C4" s="97">
        <v>1</v>
      </c>
      <c r="D4" s="3" t="s">
        <v>217</v>
      </c>
      <c r="E4" s="98" t="s">
        <v>287</v>
      </c>
      <c r="F4" s="98">
        <v>1</v>
      </c>
      <c r="G4" s="99" t="s">
        <v>217</v>
      </c>
      <c r="H4" s="100">
        <v>2</v>
      </c>
      <c r="I4" s="62" t="s">
        <v>7</v>
      </c>
      <c r="J4" s="101">
        <f>H4*F4</f>
        <v>2</v>
      </c>
    </row>
    <row r="5" spans="1:10">
      <c r="A5" s="96"/>
      <c r="B5" s="97" t="s">
        <v>273</v>
      </c>
      <c r="C5" s="97">
        <v>3</v>
      </c>
      <c r="D5" s="3" t="s">
        <v>288</v>
      </c>
      <c r="E5" s="98"/>
      <c r="F5" s="98">
        <v>3</v>
      </c>
      <c r="G5" s="99" t="s">
        <v>217</v>
      </c>
      <c r="H5" s="100">
        <v>1.99</v>
      </c>
      <c r="I5" s="62" t="s">
        <v>217</v>
      </c>
      <c r="J5" s="101">
        <f>H5*F5</f>
        <v>5.97</v>
      </c>
    </row>
    <row r="6" spans="1:10">
      <c r="A6" s="96"/>
      <c r="B6" s="97"/>
      <c r="C6" s="97"/>
      <c r="D6" s="3"/>
      <c r="E6" s="98"/>
      <c r="F6" s="98"/>
      <c r="G6" s="99"/>
      <c r="H6" s="100"/>
      <c r="I6" s="62"/>
      <c r="J6" s="101"/>
    </row>
    <row r="7" spans="1:10">
      <c r="A7" s="96"/>
      <c r="B7" s="97"/>
      <c r="C7" s="97"/>
      <c r="D7" s="3"/>
      <c r="E7" s="98"/>
      <c r="F7" s="98"/>
      <c r="G7" s="99"/>
      <c r="H7" s="100"/>
      <c r="I7" s="62"/>
      <c r="J7" s="101"/>
    </row>
    <row r="8" spans="1:10">
      <c r="A8" s="96"/>
      <c r="B8" s="97"/>
      <c r="C8" s="97"/>
      <c r="D8" s="3"/>
      <c r="E8" s="98"/>
      <c r="F8" s="98"/>
      <c r="G8" s="99"/>
      <c r="H8" s="100"/>
      <c r="I8" s="62"/>
      <c r="J8" s="101"/>
    </row>
    <row r="9" spans="1:10">
      <c r="A9" s="96"/>
      <c r="B9" s="97"/>
      <c r="C9" s="97"/>
      <c r="D9" s="3"/>
      <c r="E9" s="98"/>
      <c r="F9" s="98"/>
      <c r="G9" s="99"/>
      <c r="H9" s="100"/>
      <c r="I9" s="62"/>
      <c r="J9" s="101"/>
    </row>
    <row r="12" spans="1:10">
      <c r="G12" s="25" t="s">
        <v>282</v>
      </c>
      <c r="H12" s="25">
        <f>SUM(J2:J5)</f>
        <v>30.16</v>
      </c>
      <c r="I12" s="114">
        <f>H12*1.3</f>
        <v>39.207999999999998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F442-93E7-4FEF-B0CF-2FFC4467F6FF}">
  <dimension ref="A1:L32"/>
  <sheetViews>
    <sheetView topLeftCell="A3" workbookViewId="0">
      <selection activeCell="I33" sqref="I33"/>
    </sheetView>
  </sheetViews>
  <sheetFormatPr defaultRowHeight="15"/>
  <cols>
    <col min="1" max="1" width="17.7109375" customWidth="1"/>
    <col min="2" max="2" width="19.5703125" customWidth="1"/>
    <col min="3" max="3" width="14.5703125" customWidth="1"/>
    <col min="5" max="5" width="21.42578125" customWidth="1"/>
    <col min="6" max="6" width="17.5703125" customWidth="1"/>
    <col min="8" max="8" width="9.42578125" bestFit="1" customWidth="1"/>
  </cols>
  <sheetData>
    <row r="1" spans="1:10" ht="21">
      <c r="A1" s="82" t="s">
        <v>92</v>
      </c>
      <c r="B1" s="83" t="s">
        <v>93</v>
      </c>
      <c r="C1" s="84" t="s">
        <v>94</v>
      </c>
      <c r="D1" s="84" t="s">
        <v>98</v>
      </c>
      <c r="E1" s="84" t="s">
        <v>96</v>
      </c>
      <c r="F1" s="84" t="s">
        <v>97</v>
      </c>
      <c r="G1" s="84" t="s">
        <v>98</v>
      </c>
      <c r="H1" s="84" t="s">
        <v>99</v>
      </c>
      <c r="I1" s="85" t="s">
        <v>98</v>
      </c>
      <c r="J1" s="84" t="s">
        <v>100</v>
      </c>
    </row>
    <row r="2" spans="1:10">
      <c r="A2" s="107"/>
      <c r="B2" s="97" t="s">
        <v>283</v>
      </c>
      <c r="C2" s="97">
        <v>3</v>
      </c>
      <c r="D2" s="3" t="s">
        <v>7</v>
      </c>
      <c r="E2" s="98" t="s">
        <v>284</v>
      </c>
      <c r="F2" s="98">
        <v>3</v>
      </c>
      <c r="G2" s="99" t="s">
        <v>7</v>
      </c>
      <c r="H2" s="100">
        <v>3.99</v>
      </c>
      <c r="I2" s="62" t="s">
        <v>7</v>
      </c>
      <c r="J2" s="101">
        <f>H2*F2</f>
        <v>11.97</v>
      </c>
    </row>
    <row r="3" spans="1:10">
      <c r="A3" s="107"/>
      <c r="B3" s="97" t="s">
        <v>273</v>
      </c>
      <c r="C3" s="97">
        <v>3</v>
      </c>
      <c r="D3" s="3" t="s">
        <v>288</v>
      </c>
      <c r="E3" s="98"/>
      <c r="F3" s="98">
        <v>3</v>
      </c>
      <c r="G3" s="99" t="s">
        <v>217</v>
      </c>
      <c r="H3" s="100">
        <v>1.99</v>
      </c>
      <c r="I3" s="62" t="s">
        <v>217</v>
      </c>
      <c r="J3" s="101">
        <f>H3*F3</f>
        <v>5.97</v>
      </c>
    </row>
    <row r="4" spans="1:10">
      <c r="A4" s="107"/>
      <c r="B4" s="97" t="s">
        <v>279</v>
      </c>
      <c r="C4" s="97">
        <v>1</v>
      </c>
      <c r="D4" s="3" t="s">
        <v>7</v>
      </c>
      <c r="E4" s="98"/>
      <c r="F4" s="98">
        <v>1</v>
      </c>
      <c r="G4" s="99" t="s">
        <v>7</v>
      </c>
      <c r="H4" s="100">
        <v>3.94</v>
      </c>
      <c r="I4" s="62" t="s">
        <v>7</v>
      </c>
      <c r="J4" s="101">
        <f>H4*F4</f>
        <v>3.94</v>
      </c>
    </row>
    <row r="5" spans="1:10">
      <c r="A5" s="96"/>
      <c r="B5" s="97" t="s">
        <v>280</v>
      </c>
      <c r="C5" s="97">
        <v>1</v>
      </c>
      <c r="D5" s="3" t="s">
        <v>7</v>
      </c>
      <c r="E5" s="98"/>
      <c r="F5" s="98">
        <v>1</v>
      </c>
      <c r="G5" s="99" t="s">
        <v>7</v>
      </c>
      <c r="H5" s="100">
        <v>3.12</v>
      </c>
      <c r="I5" s="62" t="s">
        <v>7</v>
      </c>
      <c r="J5" s="101">
        <f>H5*F5</f>
        <v>3.12</v>
      </c>
    </row>
    <row r="6" spans="1:10">
      <c r="A6" s="96"/>
      <c r="B6" s="97" t="s">
        <v>281</v>
      </c>
      <c r="C6" s="97">
        <v>1</v>
      </c>
      <c r="D6" s="3" t="s">
        <v>7</v>
      </c>
      <c r="E6" s="98"/>
      <c r="F6" s="98">
        <v>3</v>
      </c>
      <c r="G6" s="99" t="s">
        <v>7</v>
      </c>
      <c r="H6" s="100">
        <v>2.19</v>
      </c>
      <c r="I6" s="62" t="s">
        <v>7</v>
      </c>
      <c r="J6" s="101">
        <f>H6*F6</f>
        <v>6.57</v>
      </c>
    </row>
    <row r="7" spans="1:10">
      <c r="A7" s="96"/>
      <c r="B7" s="97" t="s">
        <v>252</v>
      </c>
      <c r="C7" s="97">
        <v>24</v>
      </c>
      <c r="D7" s="3" t="s">
        <v>217</v>
      </c>
      <c r="E7" s="98"/>
      <c r="F7" s="98">
        <v>24</v>
      </c>
      <c r="G7" s="99" t="s">
        <v>217</v>
      </c>
      <c r="H7" s="100">
        <v>2.12</v>
      </c>
      <c r="I7" s="62" t="s">
        <v>217</v>
      </c>
      <c r="J7" s="101">
        <f>H7*F7</f>
        <v>50.88</v>
      </c>
    </row>
    <row r="8" spans="1:10">
      <c r="A8" s="96"/>
      <c r="B8" s="97" t="s">
        <v>270</v>
      </c>
      <c r="C8" s="97">
        <v>2</v>
      </c>
      <c r="D8" s="3" t="s">
        <v>217</v>
      </c>
      <c r="E8" s="98"/>
      <c r="F8" s="98">
        <v>2</v>
      </c>
      <c r="G8" s="99" t="s">
        <v>217</v>
      </c>
      <c r="H8" s="100">
        <v>8.7899999999999991</v>
      </c>
      <c r="I8" s="62" t="s">
        <v>217</v>
      </c>
      <c r="J8" s="101">
        <f>H8*F8</f>
        <v>17.579999999999998</v>
      </c>
    </row>
    <row r="9" spans="1:10">
      <c r="A9" s="96"/>
      <c r="B9" s="97" t="s">
        <v>272</v>
      </c>
      <c r="C9" s="97">
        <v>6</v>
      </c>
      <c r="D9" s="3" t="s">
        <v>7</v>
      </c>
      <c r="E9" s="98"/>
      <c r="F9" s="98">
        <v>6</v>
      </c>
      <c r="G9" s="99" t="s">
        <v>7</v>
      </c>
      <c r="H9" s="100">
        <v>1.62</v>
      </c>
      <c r="I9" s="62" t="s">
        <v>7</v>
      </c>
      <c r="J9" s="101">
        <f>H9*F9</f>
        <v>9.7200000000000006</v>
      </c>
    </row>
    <row r="10" spans="1:10">
      <c r="A10" s="96"/>
      <c r="B10" s="97" t="s">
        <v>274</v>
      </c>
      <c r="C10" s="97">
        <v>6</v>
      </c>
      <c r="D10" s="3" t="s">
        <v>275</v>
      </c>
      <c r="E10" s="98"/>
      <c r="F10" s="98">
        <v>6</v>
      </c>
      <c r="G10" s="99" t="s">
        <v>275</v>
      </c>
      <c r="H10" s="100">
        <v>1.8</v>
      </c>
      <c r="I10" s="62" t="s">
        <v>275</v>
      </c>
      <c r="J10" s="101">
        <f>H10*F10</f>
        <v>10.8</v>
      </c>
    </row>
    <row r="11" spans="1:10" ht="43.5">
      <c r="A11" s="96"/>
      <c r="B11" s="108" t="s">
        <v>223</v>
      </c>
      <c r="C11" s="97">
        <v>1</v>
      </c>
      <c r="D11" s="3" t="s">
        <v>217</v>
      </c>
      <c r="E11" s="98"/>
      <c r="F11" s="98">
        <v>1</v>
      </c>
      <c r="G11" s="99" t="s">
        <v>217</v>
      </c>
      <c r="H11" s="100">
        <v>6.79</v>
      </c>
      <c r="I11" s="62" t="s">
        <v>217</v>
      </c>
      <c r="J11" s="101">
        <f>H11*F11</f>
        <v>6.79</v>
      </c>
    </row>
    <row r="12" spans="1:10" ht="29.25">
      <c r="A12" s="96"/>
      <c r="B12" s="108" t="s">
        <v>173</v>
      </c>
      <c r="C12" s="97">
        <v>1</v>
      </c>
      <c r="D12" s="3" t="s">
        <v>171</v>
      </c>
      <c r="E12" s="98"/>
      <c r="F12" s="98">
        <v>370</v>
      </c>
      <c r="G12" s="99" t="s">
        <v>161</v>
      </c>
      <c r="H12" s="100">
        <v>3.29</v>
      </c>
      <c r="I12" s="62" t="s">
        <v>172</v>
      </c>
      <c r="J12" s="101">
        <f>H12</f>
        <v>3.29</v>
      </c>
    </row>
    <row r="13" spans="1:10" ht="29.25">
      <c r="A13" s="96"/>
      <c r="B13" s="108" t="s">
        <v>174</v>
      </c>
      <c r="C13" s="97">
        <v>1</v>
      </c>
      <c r="D13" s="3" t="s">
        <v>171</v>
      </c>
      <c r="E13" s="98"/>
      <c r="F13" s="98">
        <v>370</v>
      </c>
      <c r="G13" s="99" t="s">
        <v>161</v>
      </c>
      <c r="H13" s="100">
        <v>3.29</v>
      </c>
      <c r="I13" s="62" t="s">
        <v>172</v>
      </c>
      <c r="J13" s="110">
        <f>H13</f>
        <v>3.29</v>
      </c>
    </row>
    <row r="14" spans="1:10">
      <c r="A14" s="96"/>
      <c r="B14" s="97" t="s">
        <v>180</v>
      </c>
      <c r="C14" s="97">
        <v>10</v>
      </c>
      <c r="D14" s="3" t="s">
        <v>181</v>
      </c>
      <c r="E14" s="98"/>
      <c r="F14" s="98">
        <v>4</v>
      </c>
      <c r="G14" s="99" t="s">
        <v>151</v>
      </c>
      <c r="H14" s="100">
        <v>1.69</v>
      </c>
      <c r="I14" s="109" t="s">
        <v>151</v>
      </c>
      <c r="J14" s="101">
        <f>H14*F14</f>
        <v>6.76</v>
      </c>
    </row>
    <row r="15" spans="1:10">
      <c r="A15" s="96"/>
      <c r="B15" s="97" t="s">
        <v>191</v>
      </c>
      <c r="C15" s="97">
        <v>6</v>
      </c>
      <c r="D15" s="3" t="s">
        <v>188</v>
      </c>
      <c r="E15" s="98"/>
      <c r="F15" s="98">
        <v>6</v>
      </c>
      <c r="G15" s="99" t="s">
        <v>102</v>
      </c>
      <c r="H15" s="100">
        <v>1.19</v>
      </c>
      <c r="I15" s="109" t="s">
        <v>102</v>
      </c>
      <c r="J15" s="101">
        <f>H15*F15</f>
        <v>7.14</v>
      </c>
    </row>
    <row r="16" spans="1:10">
      <c r="A16" s="96"/>
      <c r="B16" s="111" t="s">
        <v>289</v>
      </c>
      <c r="C16" s="97">
        <v>15</v>
      </c>
      <c r="D16" s="3" t="s">
        <v>188</v>
      </c>
      <c r="E16" s="98"/>
      <c r="F16" s="98">
        <v>8</v>
      </c>
      <c r="G16" s="99" t="s">
        <v>102</v>
      </c>
      <c r="H16" s="100">
        <v>0.9</v>
      </c>
      <c r="I16" s="109" t="s">
        <v>102</v>
      </c>
      <c r="J16" s="101">
        <f t="shared" ref="J16:J30" si="0">H16*F16</f>
        <v>7.2</v>
      </c>
    </row>
    <row r="17" spans="1:12">
      <c r="A17" s="96"/>
      <c r="B17" s="112" t="s">
        <v>290</v>
      </c>
      <c r="C17" s="97">
        <v>15</v>
      </c>
      <c r="D17" s="3" t="s">
        <v>188</v>
      </c>
      <c r="E17" s="98"/>
      <c r="F17" s="98">
        <v>6</v>
      </c>
      <c r="G17" s="99" t="s">
        <v>102</v>
      </c>
      <c r="H17" s="100">
        <v>1.6</v>
      </c>
      <c r="I17" s="109" t="s">
        <v>102</v>
      </c>
      <c r="J17" s="101">
        <f t="shared" si="0"/>
        <v>9.6000000000000014</v>
      </c>
    </row>
    <row r="18" spans="1:12">
      <c r="A18" s="96"/>
      <c r="B18" s="108" t="s">
        <v>291</v>
      </c>
      <c r="C18" s="97">
        <v>6</v>
      </c>
      <c r="D18" s="3" t="s">
        <v>102</v>
      </c>
      <c r="E18" s="98"/>
      <c r="F18" s="98">
        <v>10</v>
      </c>
      <c r="G18" s="99" t="s">
        <v>102</v>
      </c>
      <c r="H18" s="100">
        <v>1.39</v>
      </c>
      <c r="I18" s="109" t="s">
        <v>102</v>
      </c>
      <c r="J18" s="101">
        <f t="shared" si="0"/>
        <v>13.899999999999999</v>
      </c>
    </row>
    <row r="19" spans="1:12">
      <c r="A19" s="96"/>
      <c r="B19" s="97" t="s">
        <v>292</v>
      </c>
      <c r="C19" s="97">
        <v>1</v>
      </c>
      <c r="D19" s="3" t="s">
        <v>293</v>
      </c>
      <c r="E19" s="98"/>
      <c r="F19" s="98">
        <v>1</v>
      </c>
      <c r="G19" s="99" t="s">
        <v>293</v>
      </c>
      <c r="H19" s="100">
        <v>2.99</v>
      </c>
      <c r="I19" s="109" t="s">
        <v>294</v>
      </c>
      <c r="J19" s="101">
        <f t="shared" si="0"/>
        <v>2.99</v>
      </c>
    </row>
    <row r="20" spans="1:12">
      <c r="A20" s="96"/>
      <c r="B20" s="97" t="s">
        <v>295</v>
      </c>
      <c r="C20" s="97">
        <v>1</v>
      </c>
      <c r="D20" s="3" t="s">
        <v>7</v>
      </c>
      <c r="E20" s="98"/>
      <c r="F20" s="98">
        <v>1</v>
      </c>
      <c r="G20" s="99" t="s">
        <v>7</v>
      </c>
      <c r="H20" s="100">
        <v>8.5</v>
      </c>
      <c r="I20" s="109" t="s">
        <v>296</v>
      </c>
      <c r="J20" s="101">
        <f t="shared" si="0"/>
        <v>8.5</v>
      </c>
    </row>
    <row r="21" spans="1:12">
      <c r="A21" s="96"/>
      <c r="B21" s="97" t="s">
        <v>297</v>
      </c>
      <c r="C21" s="97">
        <v>1</v>
      </c>
      <c r="D21" s="3" t="s">
        <v>293</v>
      </c>
      <c r="E21" s="98" t="s">
        <v>298</v>
      </c>
      <c r="F21" s="98">
        <v>2</v>
      </c>
      <c r="G21" s="99" t="s">
        <v>293</v>
      </c>
      <c r="H21" s="100">
        <v>2.65</v>
      </c>
      <c r="I21" s="109" t="s">
        <v>294</v>
      </c>
      <c r="J21" s="101">
        <f t="shared" si="0"/>
        <v>5.3</v>
      </c>
    </row>
    <row r="22" spans="1:12">
      <c r="A22" s="96"/>
      <c r="B22" s="97" t="s">
        <v>299</v>
      </c>
      <c r="C22" s="97">
        <v>1</v>
      </c>
      <c r="D22" s="3" t="s">
        <v>294</v>
      </c>
      <c r="E22" s="98" t="s">
        <v>300</v>
      </c>
      <c r="F22" s="98">
        <v>6</v>
      </c>
      <c r="G22" s="99" t="s">
        <v>294</v>
      </c>
      <c r="H22" s="100">
        <v>0.7</v>
      </c>
      <c r="I22" s="109" t="s">
        <v>294</v>
      </c>
      <c r="J22" s="101">
        <f t="shared" si="0"/>
        <v>4.1999999999999993</v>
      </c>
    </row>
    <row r="23" spans="1:12">
      <c r="A23" s="96"/>
      <c r="B23" s="97" t="s">
        <v>301</v>
      </c>
      <c r="C23" s="97">
        <v>24</v>
      </c>
      <c r="D23" s="3" t="s">
        <v>275</v>
      </c>
      <c r="E23" s="98" t="s">
        <v>302</v>
      </c>
      <c r="F23" s="98">
        <v>6</v>
      </c>
      <c r="G23" s="99" t="s">
        <v>275</v>
      </c>
      <c r="H23" s="100">
        <v>1</v>
      </c>
      <c r="I23" s="109" t="s">
        <v>275</v>
      </c>
      <c r="J23" s="101">
        <f t="shared" si="0"/>
        <v>6</v>
      </c>
    </row>
    <row r="24" spans="1:12">
      <c r="A24" s="96"/>
      <c r="B24" s="97" t="s">
        <v>303</v>
      </c>
      <c r="C24" s="97">
        <v>10</v>
      </c>
      <c r="D24" s="3" t="s">
        <v>294</v>
      </c>
      <c r="E24" s="98" t="s">
        <v>304</v>
      </c>
      <c r="F24" s="98">
        <v>4</v>
      </c>
      <c r="G24" s="99" t="s">
        <v>294</v>
      </c>
      <c r="H24" s="100">
        <v>1.67</v>
      </c>
      <c r="I24" s="109" t="s">
        <v>294</v>
      </c>
      <c r="J24" s="101">
        <f t="shared" si="0"/>
        <v>6.68</v>
      </c>
    </row>
    <row r="25" spans="1:12">
      <c r="A25" s="96"/>
      <c r="B25" s="97" t="s">
        <v>305</v>
      </c>
      <c r="C25" s="97">
        <v>1</v>
      </c>
      <c r="D25" s="3" t="s">
        <v>294</v>
      </c>
      <c r="E25" s="98">
        <v>1.5</v>
      </c>
      <c r="F25" s="98">
        <v>1</v>
      </c>
      <c r="G25" s="99" t="s">
        <v>294</v>
      </c>
      <c r="H25" s="100">
        <v>9.9</v>
      </c>
      <c r="I25" s="109" t="s">
        <v>294</v>
      </c>
      <c r="J25" s="101">
        <f t="shared" si="0"/>
        <v>9.9</v>
      </c>
    </row>
    <row r="26" spans="1:12">
      <c r="A26" s="96"/>
      <c r="B26" s="97" t="s">
        <v>306</v>
      </c>
      <c r="C26" s="97">
        <v>1</v>
      </c>
      <c r="D26" s="3" t="s">
        <v>294</v>
      </c>
      <c r="E26" s="98">
        <v>1.7</v>
      </c>
      <c r="F26" s="98">
        <v>1</v>
      </c>
      <c r="G26" s="99" t="s">
        <v>294</v>
      </c>
      <c r="H26" s="100">
        <v>10</v>
      </c>
      <c r="I26" s="109" t="s">
        <v>294</v>
      </c>
      <c r="J26" s="101">
        <f t="shared" si="0"/>
        <v>10</v>
      </c>
    </row>
    <row r="27" spans="1:12">
      <c r="A27" s="96"/>
      <c r="B27" s="97" t="s">
        <v>307</v>
      </c>
      <c r="C27" s="97">
        <v>5</v>
      </c>
      <c r="D27" s="3" t="s">
        <v>7</v>
      </c>
      <c r="E27" s="98"/>
      <c r="F27" s="98">
        <v>1</v>
      </c>
      <c r="G27" s="99" t="s">
        <v>7</v>
      </c>
      <c r="H27" s="100">
        <v>2.79</v>
      </c>
      <c r="I27" s="62" t="s">
        <v>194</v>
      </c>
      <c r="J27" s="101">
        <f t="shared" si="0"/>
        <v>2.79</v>
      </c>
    </row>
    <row r="28" spans="1:12">
      <c r="A28" s="96"/>
      <c r="B28" s="97" t="s">
        <v>308</v>
      </c>
      <c r="C28" s="97">
        <v>3</v>
      </c>
      <c r="D28" s="3" t="s">
        <v>7</v>
      </c>
      <c r="E28" s="98"/>
      <c r="F28" s="98">
        <v>1</v>
      </c>
      <c r="G28" s="99"/>
      <c r="H28" s="100">
        <v>7.49</v>
      </c>
      <c r="I28" s="62" t="s">
        <v>194</v>
      </c>
      <c r="J28" s="101">
        <f t="shared" si="0"/>
        <v>7.49</v>
      </c>
    </row>
    <row r="29" spans="1:12">
      <c r="A29" s="96"/>
      <c r="B29" s="97" t="s">
        <v>309</v>
      </c>
      <c r="C29" s="97">
        <v>2</v>
      </c>
      <c r="D29" s="3" t="s">
        <v>294</v>
      </c>
      <c r="E29" s="98"/>
      <c r="F29" s="98">
        <v>2</v>
      </c>
      <c r="G29" s="99" t="s">
        <v>294</v>
      </c>
      <c r="H29" s="100">
        <v>3.64</v>
      </c>
      <c r="I29" s="62" t="s">
        <v>296</v>
      </c>
      <c r="J29" s="101">
        <f t="shared" si="0"/>
        <v>7.28</v>
      </c>
      <c r="K29" s="113">
        <v>16745469</v>
      </c>
      <c r="L29" s="113">
        <v>18524154</v>
      </c>
    </row>
    <row r="30" spans="1:12">
      <c r="A30" s="96"/>
      <c r="B30" s="97" t="s">
        <v>310</v>
      </c>
      <c r="C30" s="97"/>
      <c r="D30" s="3"/>
      <c r="E30" s="98"/>
      <c r="F30" s="98">
        <v>20</v>
      </c>
      <c r="G30" s="99"/>
      <c r="H30" s="100">
        <v>0.6</v>
      </c>
      <c r="I30" s="62"/>
      <c r="J30" s="101">
        <f t="shared" si="0"/>
        <v>12</v>
      </c>
      <c r="K30">
        <f>F30*2.9</f>
        <v>58</v>
      </c>
    </row>
    <row r="32" spans="1:12">
      <c r="G32" s="25" t="s">
        <v>311</v>
      </c>
      <c r="H32" s="103">
        <f>SUM(J2:J30)</f>
        <v>261.64999999999998</v>
      </c>
      <c r="I32" s="114">
        <f>H32*1.3-J30+K30</f>
        <v>386.14499999999998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08AE-66B8-45DB-8CBE-545A38365885}">
  <dimension ref="A1:L31"/>
  <sheetViews>
    <sheetView topLeftCell="A13" workbookViewId="0">
      <selection activeCell="B4" sqref="B4"/>
    </sheetView>
  </sheetViews>
  <sheetFormatPr defaultRowHeight="18.75" customHeight="1"/>
  <cols>
    <col min="1" max="1" width="21.28515625" customWidth="1"/>
    <col min="2" max="2" width="39.28515625" customWidth="1"/>
    <col min="3" max="3" width="12" bestFit="1" customWidth="1"/>
    <col min="4" max="4" width="8.28515625" bestFit="1" customWidth="1"/>
    <col min="5" max="5" width="15.140625" bestFit="1" customWidth="1"/>
    <col min="6" max="6" width="18" bestFit="1" customWidth="1"/>
    <col min="7" max="10" width="11.42578125" customWidth="1"/>
    <col min="11" max="12" width="8" bestFit="1" customWidth="1"/>
  </cols>
  <sheetData>
    <row r="1" spans="1:10" ht="18.75" customHeight="1">
      <c r="A1" s="82" t="s">
        <v>92</v>
      </c>
      <c r="B1" s="83" t="s">
        <v>93</v>
      </c>
      <c r="C1" s="84" t="s">
        <v>94</v>
      </c>
      <c r="D1" s="84" t="s">
        <v>98</v>
      </c>
      <c r="E1" s="84" t="s">
        <v>96</v>
      </c>
      <c r="F1" s="84" t="s">
        <v>97</v>
      </c>
      <c r="G1" s="84" t="s">
        <v>98</v>
      </c>
      <c r="H1" s="84" t="s">
        <v>99</v>
      </c>
      <c r="I1" s="85" t="s">
        <v>98</v>
      </c>
      <c r="J1" s="84" t="s">
        <v>100</v>
      </c>
    </row>
    <row r="2" spans="1:10" ht="18.75" customHeight="1">
      <c r="A2" s="107">
        <v>263283</v>
      </c>
      <c r="B2" s="97" t="s">
        <v>312</v>
      </c>
      <c r="C2" s="97">
        <v>25</v>
      </c>
      <c r="D2" s="3" t="s">
        <v>102</v>
      </c>
      <c r="E2" s="98" t="s">
        <v>313</v>
      </c>
      <c r="F2" s="98">
        <v>25</v>
      </c>
      <c r="G2" s="99" t="s">
        <v>102</v>
      </c>
      <c r="H2" s="100">
        <v>5.99</v>
      </c>
      <c r="I2" s="62" t="s">
        <v>314</v>
      </c>
      <c r="J2" s="101">
        <v>4.99</v>
      </c>
    </row>
    <row r="3" spans="1:10" ht="18.75" customHeight="1">
      <c r="A3" s="107">
        <v>263308</v>
      </c>
      <c r="B3" s="97" t="s">
        <v>315</v>
      </c>
      <c r="C3" s="97">
        <v>25</v>
      </c>
      <c r="D3" s="3" t="s">
        <v>102</v>
      </c>
      <c r="E3" s="98" t="s">
        <v>313</v>
      </c>
      <c r="F3" s="98">
        <v>25</v>
      </c>
      <c r="G3" s="99" t="s">
        <v>102</v>
      </c>
      <c r="H3" s="100">
        <v>5.99</v>
      </c>
      <c r="I3" s="62" t="s">
        <v>314</v>
      </c>
      <c r="J3" s="101">
        <v>5.99</v>
      </c>
    </row>
    <row r="4" spans="1:10" ht="18.75" customHeight="1">
      <c r="A4" s="107">
        <v>263312</v>
      </c>
      <c r="B4" s="97" t="s">
        <v>316</v>
      </c>
      <c r="C4" s="97">
        <v>25</v>
      </c>
      <c r="D4" s="3" t="s">
        <v>102</v>
      </c>
      <c r="E4" s="98" t="s">
        <v>313</v>
      </c>
      <c r="F4" s="98">
        <v>25</v>
      </c>
      <c r="G4" s="99" t="s">
        <v>102</v>
      </c>
      <c r="H4" s="100">
        <v>5.99</v>
      </c>
      <c r="I4" s="62" t="s">
        <v>314</v>
      </c>
      <c r="J4" s="101">
        <v>5.99</v>
      </c>
    </row>
    <row r="5" spans="1:10" ht="18.75" customHeight="1">
      <c r="A5" s="107">
        <v>263314</v>
      </c>
      <c r="B5" s="97" t="s">
        <v>317</v>
      </c>
      <c r="C5" s="97">
        <v>25</v>
      </c>
      <c r="D5" s="3" t="s">
        <v>102</v>
      </c>
      <c r="E5" s="98" t="s">
        <v>313</v>
      </c>
      <c r="F5" s="98">
        <v>25</v>
      </c>
      <c r="G5" s="99" t="s">
        <v>102</v>
      </c>
      <c r="H5" s="100">
        <v>5.99</v>
      </c>
      <c r="I5" s="62" t="s">
        <v>314</v>
      </c>
      <c r="J5" s="101">
        <v>5.99</v>
      </c>
    </row>
    <row r="6" spans="1:10" ht="18.75" customHeight="1">
      <c r="A6" s="107">
        <v>263326</v>
      </c>
      <c r="B6" s="97" t="s">
        <v>318</v>
      </c>
      <c r="C6" s="97">
        <v>25</v>
      </c>
      <c r="D6" s="3" t="s">
        <v>102</v>
      </c>
      <c r="E6" s="98" t="s">
        <v>313</v>
      </c>
      <c r="F6" s="98">
        <v>25</v>
      </c>
      <c r="G6" s="99" t="s">
        <v>102</v>
      </c>
      <c r="H6" s="100">
        <v>5.99</v>
      </c>
      <c r="I6" s="62" t="s">
        <v>314</v>
      </c>
      <c r="J6" s="101">
        <v>5.99</v>
      </c>
    </row>
    <row r="7" spans="1:10" ht="18.75" customHeight="1">
      <c r="A7" s="107">
        <v>503520</v>
      </c>
      <c r="B7" s="97" t="s">
        <v>319</v>
      </c>
      <c r="C7" s="97">
        <v>12</v>
      </c>
      <c r="D7" s="3" t="s">
        <v>147</v>
      </c>
      <c r="E7" s="98" t="s">
        <v>320</v>
      </c>
      <c r="F7" s="98">
        <v>12</v>
      </c>
      <c r="G7" s="99" t="s">
        <v>147</v>
      </c>
      <c r="H7" s="100">
        <v>18.600000000000001</v>
      </c>
      <c r="I7" s="62" t="s">
        <v>321</v>
      </c>
      <c r="J7" s="101">
        <v>18.600000000000001</v>
      </c>
    </row>
    <row r="8" spans="1:10" ht="18.75" customHeight="1">
      <c r="A8" s="107">
        <v>250405</v>
      </c>
      <c r="B8" s="97" t="s">
        <v>322</v>
      </c>
      <c r="C8" s="97">
        <v>100</v>
      </c>
      <c r="D8" s="3" t="s">
        <v>323</v>
      </c>
      <c r="E8" s="98"/>
      <c r="F8" s="98">
        <v>1</v>
      </c>
      <c r="G8" s="99" t="s">
        <v>324</v>
      </c>
      <c r="H8" s="100">
        <v>4.99</v>
      </c>
      <c r="I8" s="62" t="s">
        <v>325</v>
      </c>
      <c r="J8" s="101">
        <v>4.99</v>
      </c>
    </row>
    <row r="9" spans="1:10" ht="18.75" customHeight="1">
      <c r="A9" s="96">
        <v>700016</v>
      </c>
      <c r="B9" s="97" t="s">
        <v>326</v>
      </c>
      <c r="C9" s="97">
        <v>10</v>
      </c>
      <c r="D9" s="3" t="s">
        <v>147</v>
      </c>
      <c r="E9" s="98"/>
      <c r="F9" s="98">
        <v>10</v>
      </c>
      <c r="G9" s="99" t="s">
        <v>147</v>
      </c>
      <c r="H9" s="100">
        <v>16.899999999999999</v>
      </c>
      <c r="I9" s="62" t="s">
        <v>327</v>
      </c>
      <c r="J9" s="101">
        <v>16.899999999999999</v>
      </c>
    </row>
    <row r="10" spans="1:10" ht="18.75" customHeight="1">
      <c r="A10" s="96"/>
      <c r="B10" s="108"/>
      <c r="C10" s="97"/>
      <c r="D10" s="3"/>
      <c r="E10" s="98"/>
      <c r="F10" s="98"/>
      <c r="G10" s="99"/>
      <c r="H10" s="100"/>
      <c r="I10" s="62"/>
      <c r="J10" s="101"/>
    </row>
    <row r="11" spans="1:10" ht="18.75" customHeight="1">
      <c r="A11" s="96"/>
      <c r="B11" s="108"/>
      <c r="C11" s="97"/>
      <c r="D11" s="3"/>
      <c r="E11" s="98"/>
      <c r="F11" s="98"/>
      <c r="G11" s="99"/>
      <c r="H11" s="100"/>
      <c r="I11" s="62"/>
      <c r="J11" s="101"/>
    </row>
    <row r="12" spans="1:10" ht="18.75" customHeight="1">
      <c r="A12" s="96"/>
      <c r="B12" s="108"/>
      <c r="C12" s="97"/>
      <c r="D12" s="3"/>
      <c r="E12" s="98"/>
      <c r="F12" s="98"/>
      <c r="G12" s="99"/>
      <c r="H12" s="100"/>
      <c r="I12" s="62"/>
      <c r="J12" s="110"/>
    </row>
    <row r="13" spans="1:10" ht="18.75" customHeight="1">
      <c r="A13" s="96"/>
      <c r="B13" s="97"/>
      <c r="C13" s="97"/>
      <c r="D13" s="3"/>
      <c r="E13" s="98"/>
      <c r="F13" s="98"/>
      <c r="G13" s="99"/>
      <c r="H13" s="100"/>
      <c r="I13" s="109"/>
      <c r="J13" s="101"/>
    </row>
    <row r="14" spans="1:10" ht="18.75" customHeight="1">
      <c r="A14" s="96"/>
      <c r="B14" s="97"/>
      <c r="C14" s="97"/>
      <c r="D14" s="3"/>
      <c r="E14" s="98"/>
      <c r="F14" s="98"/>
      <c r="G14" s="99"/>
      <c r="H14" s="100"/>
      <c r="I14" s="109"/>
      <c r="J14" s="101"/>
    </row>
    <row r="15" spans="1:10" ht="18.75" customHeight="1">
      <c r="A15" s="96"/>
      <c r="B15" s="111"/>
      <c r="C15" s="97"/>
      <c r="D15" s="3"/>
      <c r="E15" s="98"/>
      <c r="F15" s="98"/>
      <c r="G15" s="99"/>
      <c r="H15" s="100"/>
      <c r="I15" s="109"/>
      <c r="J15" s="101"/>
    </row>
    <row r="16" spans="1:10" ht="18.75" customHeight="1">
      <c r="A16" s="96"/>
      <c r="B16" s="112"/>
      <c r="C16" s="97"/>
      <c r="D16" s="3"/>
      <c r="E16" s="98"/>
      <c r="F16" s="98"/>
      <c r="G16" s="99"/>
      <c r="H16" s="100"/>
      <c r="I16" s="109"/>
      <c r="J16" s="101"/>
    </row>
    <row r="17" spans="1:12" ht="18.75" customHeight="1">
      <c r="A17" s="96"/>
      <c r="B17" s="108"/>
      <c r="C17" s="97"/>
      <c r="D17" s="3"/>
      <c r="E17" s="98"/>
      <c r="F17" s="98"/>
      <c r="G17" s="99"/>
      <c r="H17" s="100"/>
      <c r="I17" s="109"/>
      <c r="J17" s="101"/>
    </row>
    <row r="18" spans="1:12" ht="18.75" customHeight="1">
      <c r="A18" s="96"/>
      <c r="B18" s="97"/>
      <c r="C18" s="97"/>
      <c r="D18" s="3"/>
      <c r="E18" s="98"/>
      <c r="F18" s="98"/>
      <c r="G18" s="99"/>
      <c r="H18" s="100"/>
      <c r="I18" s="109"/>
      <c r="J18" s="101"/>
    </row>
    <row r="19" spans="1:12" ht="18.75" customHeight="1">
      <c r="A19" s="96"/>
      <c r="B19" s="97"/>
      <c r="C19" s="97"/>
      <c r="D19" s="3"/>
      <c r="E19" s="98"/>
      <c r="F19" s="98"/>
      <c r="G19" s="99"/>
      <c r="H19" s="100"/>
      <c r="I19" s="109"/>
      <c r="J19" s="101"/>
    </row>
    <row r="20" spans="1:12" ht="18.75" customHeight="1">
      <c r="A20" s="96"/>
      <c r="B20" s="97"/>
      <c r="C20" s="97"/>
      <c r="D20" s="3"/>
      <c r="E20" s="98"/>
      <c r="F20" s="98"/>
      <c r="G20" s="99"/>
      <c r="H20" s="100"/>
      <c r="I20" s="109"/>
      <c r="J20" s="101"/>
    </row>
    <row r="21" spans="1:12" ht="18.75" customHeight="1">
      <c r="A21" s="96"/>
      <c r="B21" s="97"/>
      <c r="C21" s="97"/>
      <c r="D21" s="3"/>
      <c r="E21" s="98"/>
      <c r="F21" s="98"/>
      <c r="G21" s="99"/>
      <c r="H21" s="100"/>
      <c r="I21" s="109"/>
      <c r="J21" s="101"/>
    </row>
    <row r="22" spans="1:12" ht="18.75" customHeight="1">
      <c r="A22" s="96"/>
      <c r="B22" s="97"/>
      <c r="C22" s="97"/>
      <c r="D22" s="3"/>
      <c r="E22" s="98"/>
      <c r="F22" s="98"/>
      <c r="G22" s="99"/>
      <c r="H22" s="100"/>
      <c r="I22" s="109"/>
      <c r="J22" s="101"/>
    </row>
    <row r="23" spans="1:12" ht="18.75" customHeight="1">
      <c r="A23" s="96"/>
      <c r="B23" s="97"/>
      <c r="C23" s="97"/>
      <c r="D23" s="3"/>
      <c r="E23" s="98"/>
      <c r="F23" s="98"/>
      <c r="G23" s="99"/>
      <c r="H23" s="100"/>
      <c r="I23" s="109"/>
      <c r="J23" s="101"/>
    </row>
    <row r="24" spans="1:12" ht="18.75" customHeight="1">
      <c r="A24" s="96"/>
      <c r="B24" s="97"/>
      <c r="C24" s="97"/>
      <c r="D24" s="3"/>
      <c r="E24" s="98"/>
      <c r="F24" s="98"/>
      <c r="G24" s="99"/>
      <c r="H24" s="100"/>
      <c r="I24" s="109"/>
      <c r="J24" s="101"/>
    </row>
    <row r="25" spans="1:12" ht="18.75" customHeight="1">
      <c r="A25" s="96"/>
      <c r="B25" s="97"/>
      <c r="C25" s="97"/>
      <c r="D25" s="3"/>
      <c r="E25" s="98"/>
      <c r="F25" s="98"/>
      <c r="G25" s="99"/>
      <c r="H25" s="100"/>
      <c r="I25" s="109"/>
      <c r="J25" s="101"/>
    </row>
    <row r="26" spans="1:12" ht="18.75" customHeight="1">
      <c r="A26" s="96"/>
      <c r="B26" s="97"/>
      <c r="C26" s="97"/>
      <c r="D26" s="3"/>
      <c r="E26" s="98"/>
      <c r="F26" s="98"/>
      <c r="G26" s="99"/>
      <c r="H26" s="100"/>
      <c r="I26" s="62"/>
      <c r="J26" s="101"/>
    </row>
    <row r="27" spans="1:12" ht="18.75" customHeight="1">
      <c r="A27" s="96"/>
      <c r="B27" s="97"/>
      <c r="C27" s="97"/>
      <c r="D27" s="3"/>
      <c r="E27" s="98"/>
      <c r="F27" s="98"/>
      <c r="G27" s="99"/>
      <c r="H27" s="100"/>
      <c r="I27" s="62"/>
      <c r="J27" s="101"/>
    </row>
    <row r="28" spans="1:12" ht="18.75" customHeight="1">
      <c r="A28" s="96"/>
      <c r="B28" s="97"/>
      <c r="C28" s="97"/>
      <c r="D28" s="3"/>
      <c r="E28" s="98"/>
      <c r="F28" s="98"/>
      <c r="G28" s="99"/>
      <c r="H28" s="100"/>
      <c r="I28" s="62"/>
      <c r="J28" s="101"/>
      <c r="K28" s="113"/>
      <c r="L28" s="113"/>
    </row>
    <row r="29" spans="1:12" ht="18.75" customHeight="1">
      <c r="A29" s="96"/>
      <c r="B29" s="97"/>
      <c r="C29" s="97"/>
      <c r="D29" s="3"/>
      <c r="E29" s="98"/>
      <c r="F29" s="98"/>
      <c r="G29" s="99"/>
      <c r="H29" s="100"/>
      <c r="I29" s="62"/>
      <c r="J29" s="101"/>
    </row>
    <row r="31" spans="1:12" ht="18.75" customHeight="1">
      <c r="G31" s="25" t="s">
        <v>311</v>
      </c>
      <c r="H31" s="103">
        <f>SUM(J2:J28)</f>
        <v>69.44</v>
      </c>
      <c r="I31" s="114">
        <f>H31*1.3</f>
        <v>90.272000000000006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7A6D-4529-49A9-97EB-54FB7D37494C}">
  <dimension ref="A1:L32"/>
  <sheetViews>
    <sheetView workbookViewId="0">
      <selection activeCell="B13" sqref="B13"/>
    </sheetView>
  </sheetViews>
  <sheetFormatPr defaultRowHeight="15"/>
  <cols>
    <col min="1" max="1" width="16.42578125" bestFit="1" customWidth="1"/>
    <col min="2" max="2" width="34" style="135" customWidth="1"/>
    <col min="3" max="3" width="12" bestFit="1" customWidth="1"/>
    <col min="4" max="4" width="6.5703125" bestFit="1" customWidth="1"/>
    <col min="5" max="5" width="30.5703125" customWidth="1"/>
    <col min="6" max="6" width="19" customWidth="1"/>
    <col min="7" max="10" width="16" customWidth="1"/>
  </cols>
  <sheetData>
    <row r="1" spans="1:11" ht="21">
      <c r="A1" s="82" t="s">
        <v>92</v>
      </c>
      <c r="B1" s="132" t="s">
        <v>93</v>
      </c>
      <c r="C1" s="84" t="s">
        <v>94</v>
      </c>
      <c r="D1" s="84" t="s">
        <v>98</v>
      </c>
      <c r="E1" s="84" t="s">
        <v>96</v>
      </c>
      <c r="F1" s="84" t="s">
        <v>97</v>
      </c>
      <c r="G1" s="84" t="s">
        <v>98</v>
      </c>
      <c r="H1" s="84" t="s">
        <v>99</v>
      </c>
      <c r="I1" s="85" t="s">
        <v>98</v>
      </c>
      <c r="J1" s="84" t="s">
        <v>100</v>
      </c>
    </row>
    <row r="2" spans="1:11">
      <c r="A2" s="107">
        <v>338473</v>
      </c>
      <c r="B2" s="133" t="s">
        <v>328</v>
      </c>
      <c r="C2" s="97">
        <v>4</v>
      </c>
      <c r="D2" s="3" t="s">
        <v>151</v>
      </c>
      <c r="E2" s="98" t="s">
        <v>329</v>
      </c>
      <c r="F2" s="98">
        <v>4</v>
      </c>
      <c r="G2" s="99" t="s">
        <v>151</v>
      </c>
      <c r="H2" s="100">
        <v>2.09</v>
      </c>
      <c r="I2" s="62" t="s">
        <v>330</v>
      </c>
      <c r="J2" s="101">
        <v>2.09</v>
      </c>
      <c r="K2">
        <f>J2*1.3</f>
        <v>2.7170000000000001</v>
      </c>
    </row>
    <row r="3" spans="1:11">
      <c r="A3" s="107">
        <v>338508</v>
      </c>
      <c r="B3" s="133" t="s">
        <v>331</v>
      </c>
      <c r="C3" s="97">
        <v>4</v>
      </c>
      <c r="D3" s="3" t="s">
        <v>151</v>
      </c>
      <c r="E3" s="98" t="s">
        <v>329</v>
      </c>
      <c r="F3" s="98">
        <v>4</v>
      </c>
      <c r="G3" s="99" t="s">
        <v>151</v>
      </c>
      <c r="H3" s="100">
        <v>2.09</v>
      </c>
      <c r="I3" s="62" t="s">
        <v>330</v>
      </c>
      <c r="J3" s="101">
        <v>2.09</v>
      </c>
      <c r="K3">
        <f t="shared" ref="K3:K22" si="0">J3*1.3</f>
        <v>2.7170000000000001</v>
      </c>
    </row>
    <row r="4" spans="1:11">
      <c r="A4" s="107">
        <v>430240</v>
      </c>
      <c r="B4" s="133" t="s">
        <v>332</v>
      </c>
      <c r="C4" s="97">
        <v>4</v>
      </c>
      <c r="D4" s="3" t="s">
        <v>151</v>
      </c>
      <c r="E4" s="98" t="s">
        <v>329</v>
      </c>
      <c r="F4" s="98">
        <v>4</v>
      </c>
      <c r="G4" s="99" t="s">
        <v>151</v>
      </c>
      <c r="H4" s="100">
        <v>2.09</v>
      </c>
      <c r="I4" s="62" t="s">
        <v>330</v>
      </c>
      <c r="J4" s="101">
        <v>2.09</v>
      </c>
      <c r="K4">
        <f t="shared" si="0"/>
        <v>2.7170000000000001</v>
      </c>
    </row>
    <row r="5" spans="1:11">
      <c r="A5" s="107">
        <v>693236</v>
      </c>
      <c r="B5" s="133" t="s">
        <v>333</v>
      </c>
      <c r="C5" s="97">
        <v>4</v>
      </c>
      <c r="D5" s="3" t="s">
        <v>151</v>
      </c>
      <c r="E5" s="98" t="s">
        <v>329</v>
      </c>
      <c r="F5" s="98">
        <v>4</v>
      </c>
      <c r="G5" s="99" t="s">
        <v>151</v>
      </c>
      <c r="H5" s="100">
        <v>2.09</v>
      </c>
      <c r="I5" s="62" t="s">
        <v>330</v>
      </c>
      <c r="J5" s="101">
        <v>2.09</v>
      </c>
      <c r="K5">
        <f t="shared" si="0"/>
        <v>2.7170000000000001</v>
      </c>
    </row>
    <row r="6" spans="1:11">
      <c r="A6" s="107"/>
      <c r="B6" s="133" t="s">
        <v>310</v>
      </c>
      <c r="C6" s="97"/>
      <c r="D6" s="3"/>
      <c r="E6" s="98"/>
      <c r="F6" s="98">
        <v>20</v>
      </c>
      <c r="G6" s="99" t="s">
        <v>334</v>
      </c>
      <c r="H6" s="100">
        <v>0.6</v>
      </c>
      <c r="I6" s="62"/>
      <c r="J6" s="101">
        <f>H6*F6</f>
        <v>12</v>
      </c>
      <c r="K6">
        <f>F6*2.9</f>
        <v>58</v>
      </c>
    </row>
    <row r="7" spans="1:11">
      <c r="A7" s="107"/>
      <c r="B7" s="133" t="s">
        <v>273</v>
      </c>
      <c r="C7" s="97"/>
      <c r="D7" s="3"/>
      <c r="E7" s="98"/>
      <c r="F7" s="98">
        <v>3</v>
      </c>
      <c r="G7" s="99" t="s">
        <v>334</v>
      </c>
      <c r="H7" s="100">
        <v>2.5</v>
      </c>
      <c r="I7" s="62"/>
      <c r="J7" s="101">
        <f>H7*F7</f>
        <v>7.5</v>
      </c>
      <c r="K7">
        <f t="shared" si="0"/>
        <v>9.75</v>
      </c>
    </row>
    <row r="8" spans="1:11">
      <c r="A8" s="107"/>
      <c r="B8" s="133" t="s">
        <v>335</v>
      </c>
      <c r="C8" s="97"/>
      <c r="D8" s="3"/>
      <c r="E8" s="98"/>
      <c r="F8" s="98">
        <v>10</v>
      </c>
      <c r="G8" s="99" t="s">
        <v>7</v>
      </c>
      <c r="H8" s="100">
        <v>2</v>
      </c>
      <c r="I8" s="62"/>
      <c r="J8" s="101">
        <f>H8*F8</f>
        <v>20</v>
      </c>
      <c r="K8">
        <f t="shared" si="0"/>
        <v>26</v>
      </c>
    </row>
    <row r="9" spans="1:11">
      <c r="A9" s="107"/>
      <c r="B9" s="133" t="s">
        <v>336</v>
      </c>
      <c r="C9" s="97"/>
      <c r="D9" s="3"/>
      <c r="E9" s="98"/>
      <c r="F9" s="98">
        <v>2</v>
      </c>
      <c r="G9" s="99" t="s">
        <v>294</v>
      </c>
      <c r="H9" s="100">
        <v>2.79</v>
      </c>
      <c r="I9" s="62"/>
      <c r="J9" s="101">
        <f t="shared" ref="J9:J30" si="1">H9*F9</f>
        <v>5.58</v>
      </c>
      <c r="K9">
        <f t="shared" si="0"/>
        <v>7.2540000000000004</v>
      </c>
    </row>
    <row r="10" spans="1:11">
      <c r="A10" s="96"/>
      <c r="B10" s="133" t="s">
        <v>337</v>
      </c>
      <c r="C10" s="97"/>
      <c r="D10" s="3"/>
      <c r="E10" s="98"/>
      <c r="F10" s="98">
        <v>40</v>
      </c>
      <c r="G10" s="99" t="s">
        <v>334</v>
      </c>
      <c r="H10" s="100">
        <v>2</v>
      </c>
      <c r="I10" s="62"/>
      <c r="J10" s="101">
        <f t="shared" si="1"/>
        <v>80</v>
      </c>
      <c r="K10">
        <f t="shared" si="0"/>
        <v>104</v>
      </c>
    </row>
    <row r="11" spans="1:11">
      <c r="A11" s="96"/>
      <c r="B11" s="134" t="s">
        <v>338</v>
      </c>
      <c r="C11" s="97"/>
      <c r="D11" s="3"/>
      <c r="E11" s="98"/>
      <c r="F11" s="98">
        <v>2</v>
      </c>
      <c r="G11" s="99" t="s">
        <v>294</v>
      </c>
      <c r="H11" s="100">
        <v>2.2999999999999998</v>
      </c>
      <c r="I11" s="62"/>
      <c r="J11" s="101">
        <f t="shared" si="1"/>
        <v>4.5999999999999996</v>
      </c>
      <c r="K11">
        <f>F11*10*2.9</f>
        <v>58</v>
      </c>
    </row>
    <row r="12" spans="1:11">
      <c r="A12" s="96"/>
      <c r="B12" s="134" t="s">
        <v>339</v>
      </c>
      <c r="C12" s="97"/>
      <c r="D12" s="3"/>
      <c r="E12" s="98"/>
      <c r="F12" s="98">
        <v>10</v>
      </c>
      <c r="G12" s="99" t="s">
        <v>334</v>
      </c>
      <c r="H12" s="100">
        <v>1</v>
      </c>
      <c r="I12" s="62"/>
      <c r="J12" s="101">
        <f t="shared" si="1"/>
        <v>10</v>
      </c>
      <c r="K12">
        <f t="shared" si="0"/>
        <v>13</v>
      </c>
    </row>
    <row r="13" spans="1:11">
      <c r="A13" s="96"/>
      <c r="B13" s="134" t="s">
        <v>340</v>
      </c>
      <c r="C13" s="97"/>
      <c r="D13" s="3"/>
      <c r="E13" s="98"/>
      <c r="F13" s="98">
        <v>10</v>
      </c>
      <c r="G13" s="99" t="s">
        <v>334</v>
      </c>
      <c r="H13" s="100">
        <v>1</v>
      </c>
      <c r="I13" s="62"/>
      <c r="J13" s="101">
        <f t="shared" si="1"/>
        <v>10</v>
      </c>
      <c r="K13">
        <f t="shared" si="0"/>
        <v>13</v>
      </c>
    </row>
    <row r="14" spans="1:11">
      <c r="A14" s="96"/>
      <c r="B14" s="133" t="s">
        <v>341</v>
      </c>
      <c r="C14" s="97"/>
      <c r="D14" s="3"/>
      <c r="E14" s="98"/>
      <c r="F14" s="98">
        <v>1</v>
      </c>
      <c r="G14" s="99" t="s">
        <v>294</v>
      </c>
      <c r="H14" s="100">
        <v>3</v>
      </c>
      <c r="I14" s="109"/>
      <c r="J14" s="101">
        <f t="shared" si="1"/>
        <v>3</v>
      </c>
      <c r="K14">
        <f t="shared" si="0"/>
        <v>3.9000000000000004</v>
      </c>
    </row>
    <row r="15" spans="1:11">
      <c r="A15" s="96"/>
      <c r="B15" s="134" t="s">
        <v>342</v>
      </c>
      <c r="C15" s="97"/>
      <c r="D15" s="3"/>
      <c r="E15" s="98"/>
      <c r="F15" s="98">
        <v>15</v>
      </c>
      <c r="G15" s="99" t="s">
        <v>334</v>
      </c>
      <c r="H15" s="100">
        <v>1</v>
      </c>
      <c r="I15" s="109"/>
      <c r="J15" s="101">
        <f t="shared" si="1"/>
        <v>15</v>
      </c>
      <c r="K15">
        <f t="shared" si="0"/>
        <v>19.5</v>
      </c>
    </row>
    <row r="16" spans="1:11">
      <c r="A16" s="96"/>
      <c r="B16" s="134" t="s">
        <v>343</v>
      </c>
      <c r="C16" s="97"/>
      <c r="D16" s="3"/>
      <c r="E16" s="98"/>
      <c r="F16" s="98">
        <v>30</v>
      </c>
      <c r="G16" s="99" t="s">
        <v>334</v>
      </c>
      <c r="H16" s="100">
        <v>0.4</v>
      </c>
      <c r="I16" s="109"/>
      <c r="J16" s="101">
        <f t="shared" si="1"/>
        <v>12</v>
      </c>
      <c r="K16">
        <f t="shared" si="0"/>
        <v>15.600000000000001</v>
      </c>
    </row>
    <row r="17" spans="1:12">
      <c r="A17" s="96"/>
      <c r="B17" s="134" t="s">
        <v>344</v>
      </c>
      <c r="C17" s="97"/>
      <c r="D17" s="3"/>
      <c r="E17" s="98"/>
      <c r="F17" s="98">
        <v>10</v>
      </c>
      <c r="G17" s="99" t="s">
        <v>334</v>
      </c>
      <c r="H17" s="99">
        <v>1.2</v>
      </c>
      <c r="I17" s="109"/>
      <c r="J17" s="101">
        <f t="shared" si="1"/>
        <v>12</v>
      </c>
      <c r="K17">
        <f t="shared" si="0"/>
        <v>15.600000000000001</v>
      </c>
    </row>
    <row r="18" spans="1:12">
      <c r="A18" s="96"/>
      <c r="B18" s="134" t="s">
        <v>345</v>
      </c>
      <c r="C18" s="97"/>
      <c r="D18" s="3"/>
      <c r="E18" s="98"/>
      <c r="F18" s="98">
        <v>2</v>
      </c>
      <c r="G18" s="99" t="s">
        <v>334</v>
      </c>
      <c r="H18" s="100">
        <v>1.67</v>
      </c>
      <c r="I18" s="109"/>
      <c r="J18" s="101">
        <f t="shared" si="1"/>
        <v>3.34</v>
      </c>
      <c r="K18">
        <f t="shared" si="0"/>
        <v>4.3419999999999996</v>
      </c>
    </row>
    <row r="19" spans="1:12">
      <c r="A19" s="96"/>
      <c r="B19" s="134" t="s">
        <v>346</v>
      </c>
      <c r="C19" s="97"/>
      <c r="D19" s="3"/>
      <c r="E19" s="98"/>
      <c r="F19" s="98">
        <v>1</v>
      </c>
      <c r="G19" s="99" t="s">
        <v>296</v>
      </c>
      <c r="H19" s="100">
        <v>3</v>
      </c>
      <c r="I19" s="109"/>
      <c r="J19" s="101">
        <f t="shared" si="1"/>
        <v>3</v>
      </c>
      <c r="K19">
        <f t="shared" si="0"/>
        <v>3.9000000000000004</v>
      </c>
    </row>
    <row r="20" spans="1:12">
      <c r="A20" s="96"/>
      <c r="B20" s="133" t="s">
        <v>347</v>
      </c>
      <c r="C20" s="97"/>
      <c r="D20" s="3"/>
      <c r="E20" s="98"/>
      <c r="F20" s="98">
        <v>1</v>
      </c>
      <c r="G20" s="99" t="s">
        <v>296</v>
      </c>
      <c r="H20" s="100">
        <v>10.220000000000001</v>
      </c>
      <c r="I20" s="109"/>
      <c r="J20" s="101">
        <f t="shared" si="1"/>
        <v>10.220000000000001</v>
      </c>
      <c r="K20">
        <f t="shared" si="0"/>
        <v>13.286000000000001</v>
      </c>
    </row>
    <row r="21" spans="1:12">
      <c r="A21" s="96"/>
      <c r="B21" s="133" t="s">
        <v>252</v>
      </c>
      <c r="C21" s="97">
        <v>24</v>
      </c>
      <c r="D21" s="3" t="s">
        <v>217</v>
      </c>
      <c r="E21" s="98"/>
      <c r="F21" s="98">
        <v>24</v>
      </c>
      <c r="G21" s="99" t="s">
        <v>217</v>
      </c>
      <c r="H21" s="100">
        <v>2.12</v>
      </c>
      <c r="I21" s="62" t="s">
        <v>217</v>
      </c>
      <c r="J21" s="101">
        <f>H21*F21</f>
        <v>50.88</v>
      </c>
      <c r="K21">
        <f t="shared" si="0"/>
        <v>66.144000000000005</v>
      </c>
    </row>
    <row r="22" spans="1:12">
      <c r="A22" s="96"/>
      <c r="B22" s="133" t="s">
        <v>270</v>
      </c>
      <c r="C22" s="97">
        <v>1</v>
      </c>
      <c r="D22" s="3" t="s">
        <v>217</v>
      </c>
      <c r="E22" s="98"/>
      <c r="F22" s="98">
        <v>1</v>
      </c>
      <c r="G22" s="99" t="s">
        <v>217</v>
      </c>
      <c r="H22" s="100">
        <v>8.7899999999999991</v>
      </c>
      <c r="I22" s="62" t="s">
        <v>217</v>
      </c>
      <c r="J22" s="101">
        <f>H22*F22</f>
        <v>8.7899999999999991</v>
      </c>
      <c r="K22">
        <f t="shared" si="0"/>
        <v>11.427</v>
      </c>
    </row>
    <row r="23" spans="1:12">
      <c r="A23" s="96"/>
      <c r="B23" s="133"/>
      <c r="C23" s="97"/>
      <c r="D23" s="3"/>
      <c r="E23" s="98"/>
      <c r="F23" s="98"/>
      <c r="G23" s="99"/>
      <c r="H23" s="100"/>
      <c r="I23" s="109"/>
      <c r="J23" s="101">
        <f t="shared" si="1"/>
        <v>0</v>
      </c>
    </row>
    <row r="24" spans="1:12">
      <c r="A24" s="96"/>
      <c r="B24" s="133"/>
      <c r="C24" s="97"/>
      <c r="D24" s="3"/>
      <c r="E24" s="98"/>
      <c r="F24" s="98"/>
      <c r="G24" s="99"/>
      <c r="H24" s="100"/>
      <c r="I24" s="109"/>
      <c r="J24" s="101">
        <f t="shared" si="1"/>
        <v>0</v>
      </c>
    </row>
    <row r="25" spans="1:12">
      <c r="A25" s="96"/>
      <c r="B25" s="133"/>
      <c r="C25" s="97"/>
      <c r="D25" s="3"/>
      <c r="E25" s="98"/>
      <c r="F25" s="98"/>
      <c r="G25" s="99"/>
      <c r="H25" s="100"/>
      <c r="I25" s="109"/>
      <c r="J25" s="101">
        <f t="shared" si="1"/>
        <v>0</v>
      </c>
    </row>
    <row r="26" spans="1:12">
      <c r="A26" s="96"/>
      <c r="B26" s="133"/>
      <c r="C26" s="97"/>
      <c r="D26" s="3"/>
      <c r="E26" s="98"/>
      <c r="F26" s="98"/>
      <c r="G26" s="99"/>
      <c r="H26" s="100"/>
      <c r="I26" s="109"/>
      <c r="J26" s="101">
        <f t="shared" si="1"/>
        <v>0</v>
      </c>
    </row>
    <row r="27" spans="1:12">
      <c r="A27" s="96"/>
      <c r="B27" s="133"/>
      <c r="C27" s="97"/>
      <c r="D27" s="3"/>
      <c r="E27" s="98"/>
      <c r="F27" s="98"/>
      <c r="G27" s="99"/>
      <c r="H27" s="100"/>
      <c r="I27" s="62"/>
      <c r="J27" s="101">
        <f t="shared" si="1"/>
        <v>0</v>
      </c>
    </row>
    <row r="28" spans="1:12">
      <c r="A28" s="96"/>
      <c r="B28" s="133"/>
      <c r="C28" s="97"/>
      <c r="D28" s="3"/>
      <c r="E28" s="98"/>
      <c r="F28" s="98"/>
      <c r="G28" s="99"/>
      <c r="H28" s="100"/>
      <c r="I28" s="62"/>
      <c r="J28" s="101">
        <f t="shared" si="1"/>
        <v>0</v>
      </c>
    </row>
    <row r="29" spans="1:12">
      <c r="A29" s="96"/>
      <c r="B29" s="133"/>
      <c r="C29" s="97"/>
      <c r="D29" s="3"/>
      <c r="E29" s="98"/>
      <c r="F29" s="98"/>
      <c r="G29" s="99"/>
      <c r="H29" s="100"/>
      <c r="I29" s="62"/>
      <c r="J29" s="101">
        <f t="shared" si="1"/>
        <v>0</v>
      </c>
      <c r="K29" s="113"/>
      <c r="L29" s="113"/>
    </row>
    <row r="30" spans="1:12">
      <c r="A30" s="96"/>
      <c r="B30" s="133"/>
      <c r="C30" s="97"/>
      <c r="D30" s="3"/>
      <c r="E30" s="98"/>
      <c r="F30" s="98"/>
      <c r="G30" s="99"/>
      <c r="H30" s="100"/>
      <c r="I30" s="62"/>
      <c r="J30" s="101">
        <f t="shared" si="1"/>
        <v>0</v>
      </c>
    </row>
    <row r="32" spans="1:12">
      <c r="G32" s="25" t="s">
        <v>311</v>
      </c>
      <c r="H32" s="103">
        <f>SUM(J2:J29)</f>
        <v>276.27000000000004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9309-2B35-4B06-8877-13FB92FDBB9B}">
  <dimension ref="A1:G31"/>
  <sheetViews>
    <sheetView workbookViewId="0">
      <selection activeCell="B2" sqref="B2"/>
    </sheetView>
  </sheetViews>
  <sheetFormatPr defaultRowHeight="15"/>
  <cols>
    <col min="1" max="1" width="16.42578125" bestFit="1" customWidth="1"/>
    <col min="2" max="2" width="25.42578125" style="120" customWidth="1"/>
    <col min="3" max="3" width="25" style="125" customWidth="1"/>
    <col min="4" max="4" width="26.42578125" customWidth="1"/>
    <col min="5" max="5" width="9.85546875" style="120" customWidth="1"/>
    <col min="6" max="6" width="14.5703125" style="114" customWidth="1"/>
    <col min="7" max="7" width="13.85546875" style="114" customWidth="1"/>
  </cols>
  <sheetData>
    <row r="1" spans="1:7" ht="21">
      <c r="A1" s="82" t="s">
        <v>92</v>
      </c>
      <c r="B1" s="117" t="s">
        <v>93</v>
      </c>
      <c r="C1" s="123" t="s">
        <v>348</v>
      </c>
      <c r="D1" s="84" t="s">
        <v>96</v>
      </c>
      <c r="E1" s="121" t="s">
        <v>98</v>
      </c>
      <c r="F1" s="127" t="s">
        <v>99</v>
      </c>
      <c r="G1" s="127" t="s">
        <v>100</v>
      </c>
    </row>
    <row r="2" spans="1:7">
      <c r="A2" s="107"/>
      <c r="B2" s="118" t="s">
        <v>349</v>
      </c>
      <c r="C2" s="124">
        <v>6</v>
      </c>
      <c r="D2" s="98" t="s">
        <v>350</v>
      </c>
      <c r="E2" s="122" t="s">
        <v>147</v>
      </c>
      <c r="F2" s="128">
        <v>1.67</v>
      </c>
      <c r="G2" s="130">
        <f>F2*C2</f>
        <v>10.02</v>
      </c>
    </row>
    <row r="3" spans="1:7">
      <c r="A3" s="107"/>
      <c r="B3" s="118" t="s">
        <v>351</v>
      </c>
      <c r="C3" s="124">
        <v>1</v>
      </c>
      <c r="D3" s="98"/>
      <c r="E3" s="122" t="s">
        <v>7</v>
      </c>
      <c r="F3" s="128">
        <v>1.19</v>
      </c>
      <c r="G3" s="130">
        <v>1.19</v>
      </c>
    </row>
    <row r="4" spans="1:7">
      <c r="A4" s="107"/>
      <c r="B4" s="118" t="s">
        <v>352</v>
      </c>
      <c r="C4" s="124">
        <v>2</v>
      </c>
      <c r="D4" s="98"/>
      <c r="E4" s="122" t="s">
        <v>7</v>
      </c>
      <c r="F4" s="128">
        <v>10.220000000000001</v>
      </c>
      <c r="G4" s="130">
        <v>20.440000000000001</v>
      </c>
    </row>
    <row r="5" spans="1:7">
      <c r="A5" s="107"/>
      <c r="B5" s="118" t="s">
        <v>353</v>
      </c>
      <c r="C5" s="124">
        <v>1</v>
      </c>
      <c r="D5" s="98" t="s">
        <v>354</v>
      </c>
      <c r="E5" s="122" t="s">
        <v>7</v>
      </c>
      <c r="F5" s="128">
        <v>9</v>
      </c>
      <c r="G5" s="130">
        <v>9</v>
      </c>
    </row>
    <row r="6" spans="1:7">
      <c r="A6" s="107"/>
      <c r="B6" s="118" t="s">
        <v>355</v>
      </c>
      <c r="C6" s="124">
        <v>2</v>
      </c>
      <c r="D6" s="98"/>
      <c r="E6" s="122" t="s">
        <v>7</v>
      </c>
      <c r="F6" s="128">
        <v>8.76</v>
      </c>
      <c r="G6" s="130">
        <f>F6*C6</f>
        <v>17.52</v>
      </c>
    </row>
    <row r="7" spans="1:7">
      <c r="A7" s="107"/>
      <c r="B7" s="118" t="s">
        <v>356</v>
      </c>
      <c r="C7" s="124">
        <v>3</v>
      </c>
      <c r="D7" s="98"/>
      <c r="E7" s="122"/>
      <c r="F7" s="128">
        <v>4</v>
      </c>
      <c r="G7" s="130">
        <v>12</v>
      </c>
    </row>
    <row r="8" spans="1:7">
      <c r="A8" s="107"/>
      <c r="B8" s="118" t="s">
        <v>357</v>
      </c>
      <c r="C8" s="124">
        <v>6</v>
      </c>
      <c r="D8" s="98"/>
      <c r="E8" s="122" t="s">
        <v>147</v>
      </c>
      <c r="F8" s="128">
        <v>2.4500000000000002</v>
      </c>
      <c r="G8" s="130">
        <f>F8*C8</f>
        <v>14.700000000000001</v>
      </c>
    </row>
    <row r="9" spans="1:7">
      <c r="A9" s="107"/>
      <c r="B9" s="118" t="s">
        <v>358</v>
      </c>
      <c r="C9" s="124">
        <v>1</v>
      </c>
      <c r="D9" s="98"/>
      <c r="E9" s="122" t="s">
        <v>7</v>
      </c>
      <c r="F9" s="128">
        <v>11.54</v>
      </c>
      <c r="G9" s="130">
        <v>11.54</v>
      </c>
    </row>
    <row r="10" spans="1:7">
      <c r="A10" s="96"/>
      <c r="B10" s="118" t="s">
        <v>359</v>
      </c>
      <c r="C10" s="124">
        <v>1</v>
      </c>
      <c r="D10" s="98" t="s">
        <v>151</v>
      </c>
      <c r="E10" s="122" t="s">
        <v>146</v>
      </c>
      <c r="F10" s="128">
        <v>9.8000000000000007</v>
      </c>
      <c r="G10" s="130">
        <v>9.8000000000000007</v>
      </c>
    </row>
    <row r="11" spans="1:7">
      <c r="A11" s="96"/>
      <c r="B11" s="119" t="s">
        <v>360</v>
      </c>
      <c r="C11" s="124">
        <v>1</v>
      </c>
      <c r="D11" s="98"/>
      <c r="E11" s="122" t="s">
        <v>361</v>
      </c>
      <c r="F11" s="128">
        <v>16.559999999999999</v>
      </c>
      <c r="G11" s="130">
        <v>16.559999999999999</v>
      </c>
    </row>
    <row r="12" spans="1:7">
      <c r="A12" s="96"/>
      <c r="B12" s="119" t="s">
        <v>362</v>
      </c>
      <c r="C12" s="124">
        <v>1</v>
      </c>
      <c r="D12" s="98" t="s">
        <v>138</v>
      </c>
      <c r="E12" s="122"/>
      <c r="F12" s="128">
        <v>14.44</v>
      </c>
      <c r="G12" s="130">
        <v>14.44</v>
      </c>
    </row>
    <row r="13" spans="1:7">
      <c r="A13" s="96"/>
      <c r="B13" s="119" t="s">
        <v>227</v>
      </c>
      <c r="C13" s="124">
        <v>1</v>
      </c>
      <c r="D13" s="98" t="s">
        <v>363</v>
      </c>
      <c r="E13" s="122" t="s">
        <v>147</v>
      </c>
      <c r="F13" s="128">
        <v>10.29</v>
      </c>
      <c r="G13" s="130">
        <v>10.29</v>
      </c>
    </row>
    <row r="14" spans="1:7">
      <c r="A14" s="96"/>
      <c r="B14" s="126" t="s">
        <v>364</v>
      </c>
      <c r="C14" s="124">
        <v>24</v>
      </c>
      <c r="D14" s="98"/>
      <c r="E14" s="122" t="s">
        <v>147</v>
      </c>
      <c r="F14" s="128">
        <v>1.59</v>
      </c>
      <c r="G14" s="130">
        <f>F14*C14</f>
        <v>38.160000000000004</v>
      </c>
    </row>
    <row r="15" spans="1:7">
      <c r="A15" s="96"/>
      <c r="B15" s="119" t="s">
        <v>365</v>
      </c>
      <c r="C15" s="124">
        <v>24</v>
      </c>
      <c r="D15" s="98"/>
      <c r="E15" s="122" t="s">
        <v>147</v>
      </c>
      <c r="F15" s="128">
        <v>2.12</v>
      </c>
      <c r="G15" s="130">
        <f>F15*C15</f>
        <v>50.88</v>
      </c>
    </row>
    <row r="16" spans="1:7">
      <c r="A16" s="96"/>
      <c r="B16" s="119" t="s">
        <v>366</v>
      </c>
      <c r="C16" s="124">
        <v>2</v>
      </c>
      <c r="D16" s="98"/>
      <c r="E16" s="122" t="s">
        <v>361</v>
      </c>
      <c r="F16" s="128">
        <v>5.99</v>
      </c>
      <c r="G16" s="130">
        <f>F16*C16</f>
        <v>11.98</v>
      </c>
    </row>
    <row r="17" spans="1:7">
      <c r="A17" s="96"/>
      <c r="B17" s="119" t="s">
        <v>367</v>
      </c>
      <c r="C17" s="124">
        <v>8</v>
      </c>
      <c r="D17" s="98"/>
      <c r="E17" s="122" t="s">
        <v>361</v>
      </c>
      <c r="F17" s="129">
        <v>2.12</v>
      </c>
      <c r="G17" s="130">
        <f>F17*C17</f>
        <v>16.96</v>
      </c>
    </row>
    <row r="18" spans="1:7">
      <c r="A18" s="96"/>
      <c r="B18" s="119" t="s">
        <v>271</v>
      </c>
      <c r="C18" s="124">
        <v>6</v>
      </c>
      <c r="D18" s="98"/>
      <c r="E18" s="122" t="s">
        <v>7</v>
      </c>
      <c r="F18" s="128">
        <v>8.24</v>
      </c>
      <c r="G18" s="130">
        <f>F18*C18</f>
        <v>49.44</v>
      </c>
    </row>
    <row r="19" spans="1:7">
      <c r="A19" s="96"/>
      <c r="B19" s="119" t="s">
        <v>279</v>
      </c>
      <c r="C19" s="124">
        <v>2</v>
      </c>
      <c r="D19" s="98"/>
      <c r="E19" s="122" t="s">
        <v>7</v>
      </c>
      <c r="F19" s="128">
        <v>2.52</v>
      </c>
      <c r="G19" s="130">
        <f>F19*C19</f>
        <v>5.04</v>
      </c>
    </row>
    <row r="20" spans="1:7">
      <c r="A20" s="96"/>
      <c r="B20" s="118" t="s">
        <v>272</v>
      </c>
      <c r="C20" s="124">
        <v>4</v>
      </c>
      <c r="D20" s="98"/>
      <c r="E20" s="122" t="s">
        <v>7</v>
      </c>
      <c r="F20" s="128">
        <v>1.64</v>
      </c>
      <c r="G20" s="130">
        <f>F20*C20</f>
        <v>6.56</v>
      </c>
    </row>
    <row r="21" spans="1:7">
      <c r="A21" s="96"/>
      <c r="B21" s="118" t="s">
        <v>107</v>
      </c>
      <c r="C21" s="124">
        <v>1</v>
      </c>
      <c r="D21" s="98"/>
      <c r="E21" s="122" t="s">
        <v>7</v>
      </c>
      <c r="F21" s="128">
        <v>3.29</v>
      </c>
      <c r="G21" s="130">
        <v>3.29</v>
      </c>
    </row>
    <row r="22" spans="1:7">
      <c r="A22" s="96"/>
      <c r="B22" s="118" t="s">
        <v>368</v>
      </c>
      <c r="C22" s="124">
        <v>2</v>
      </c>
      <c r="D22" s="98" t="s">
        <v>369</v>
      </c>
      <c r="E22" s="122" t="s">
        <v>370</v>
      </c>
      <c r="F22" s="128">
        <v>3.73</v>
      </c>
      <c r="G22" s="130">
        <f>F22*C22</f>
        <v>7.46</v>
      </c>
    </row>
    <row r="23" spans="1:7">
      <c r="A23" s="96"/>
      <c r="B23" s="118" t="s">
        <v>371</v>
      </c>
      <c r="C23" s="124">
        <v>1</v>
      </c>
      <c r="D23" s="98"/>
      <c r="E23" s="122" t="s">
        <v>7</v>
      </c>
      <c r="F23" s="128">
        <v>2.19</v>
      </c>
      <c r="G23" s="130">
        <v>2.19</v>
      </c>
    </row>
    <row r="24" spans="1:7">
      <c r="A24" s="96"/>
      <c r="B24" s="118" t="s">
        <v>273</v>
      </c>
      <c r="C24" s="124">
        <v>4</v>
      </c>
      <c r="D24" s="98"/>
      <c r="E24" s="122"/>
      <c r="F24" s="128">
        <v>2</v>
      </c>
      <c r="G24" s="130">
        <v>2.19</v>
      </c>
    </row>
    <row r="25" spans="1:7">
      <c r="A25" s="96"/>
      <c r="B25" s="118" t="s">
        <v>372</v>
      </c>
      <c r="C25" s="124">
        <v>15</v>
      </c>
      <c r="D25" s="98"/>
      <c r="E25" s="122"/>
      <c r="F25" s="128">
        <v>1</v>
      </c>
      <c r="G25" s="130">
        <v>2.19</v>
      </c>
    </row>
    <row r="26" spans="1:7">
      <c r="A26" s="96"/>
      <c r="B26" s="118"/>
      <c r="C26" s="124"/>
      <c r="D26" s="98"/>
      <c r="E26" s="122"/>
      <c r="F26" s="128"/>
      <c r="G26" s="130"/>
    </row>
    <row r="27" spans="1:7">
      <c r="A27" s="96"/>
      <c r="B27" s="118"/>
      <c r="C27" s="124"/>
      <c r="D27" s="98"/>
      <c r="E27" s="122"/>
      <c r="F27" s="128"/>
      <c r="G27" s="130"/>
    </row>
    <row r="28" spans="1:7">
      <c r="A28" s="96"/>
      <c r="B28" s="118"/>
      <c r="C28" s="124"/>
      <c r="D28" s="98"/>
      <c r="E28" s="122"/>
      <c r="F28" s="128"/>
      <c r="G28" s="130"/>
    </row>
    <row r="29" spans="1:7">
      <c r="A29" s="96"/>
      <c r="B29" s="118"/>
      <c r="C29" s="124"/>
      <c r="D29" s="98"/>
      <c r="E29" s="122"/>
      <c r="F29" s="128"/>
      <c r="G29" s="130"/>
    </row>
    <row r="31" spans="1:7">
      <c r="F31" s="103">
        <f>SUM(G2:G25)</f>
        <v>343.84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4010-DD91-43F5-AC91-5D04DD7B8A88}">
  <dimension ref="A1:G30"/>
  <sheetViews>
    <sheetView workbookViewId="0">
      <selection activeCell="G24" sqref="B24:G24"/>
    </sheetView>
  </sheetViews>
  <sheetFormatPr defaultRowHeight="15"/>
  <cols>
    <col min="1" max="1" width="16.42578125" bestFit="1" customWidth="1"/>
    <col min="2" max="2" width="34" customWidth="1"/>
    <col min="3" max="3" width="18.85546875" bestFit="1" customWidth="1"/>
    <col min="4" max="4" width="11.85546875" customWidth="1"/>
    <col min="5" max="5" width="25.28515625" customWidth="1"/>
    <col min="6" max="6" width="12.28515625" customWidth="1"/>
    <col min="7" max="7" width="17.42578125" customWidth="1"/>
  </cols>
  <sheetData>
    <row r="1" spans="1:7" ht="21">
      <c r="A1" s="82" t="s">
        <v>92</v>
      </c>
      <c r="B1" s="117" t="s">
        <v>93</v>
      </c>
      <c r="C1" s="123" t="s">
        <v>348</v>
      </c>
      <c r="D1" s="121" t="s">
        <v>98</v>
      </c>
      <c r="E1" s="84" t="s">
        <v>96</v>
      </c>
      <c r="F1" s="127" t="s">
        <v>99</v>
      </c>
      <c r="G1" s="127" t="s">
        <v>100</v>
      </c>
    </row>
    <row r="2" spans="1:7">
      <c r="A2" s="107"/>
      <c r="B2" s="118" t="s">
        <v>373</v>
      </c>
      <c r="C2" s="124">
        <v>1</v>
      </c>
      <c r="D2" s="122" t="s">
        <v>374</v>
      </c>
      <c r="E2" s="98"/>
      <c r="F2" s="128">
        <v>17.440000000000001</v>
      </c>
      <c r="G2" s="130">
        <v>17.440000000000001</v>
      </c>
    </row>
    <row r="3" spans="1:7">
      <c r="A3" s="107"/>
      <c r="B3" s="118" t="s">
        <v>375</v>
      </c>
      <c r="C3" s="124">
        <v>10</v>
      </c>
      <c r="D3" s="122" t="s">
        <v>188</v>
      </c>
      <c r="E3" s="98"/>
      <c r="F3" s="128">
        <v>4.55</v>
      </c>
      <c r="G3" s="130">
        <v>45.5</v>
      </c>
    </row>
    <row r="4" spans="1:7">
      <c r="A4" s="107"/>
      <c r="B4" s="118" t="s">
        <v>352</v>
      </c>
      <c r="C4" s="124">
        <v>1</v>
      </c>
      <c r="D4" s="122" t="s">
        <v>7</v>
      </c>
      <c r="E4" s="98"/>
      <c r="F4" s="128">
        <v>7.94</v>
      </c>
      <c r="G4" s="130">
        <v>7.94</v>
      </c>
    </row>
    <row r="5" spans="1:7">
      <c r="A5" s="107"/>
      <c r="B5" s="118" t="s">
        <v>376</v>
      </c>
      <c r="C5" s="124">
        <v>1</v>
      </c>
      <c r="D5" s="122" t="s">
        <v>151</v>
      </c>
      <c r="E5" s="98" t="s">
        <v>377</v>
      </c>
      <c r="F5" s="128">
        <v>11.54</v>
      </c>
      <c r="G5" s="130">
        <v>11.54</v>
      </c>
    </row>
    <row r="6" spans="1:7">
      <c r="A6" s="107"/>
      <c r="B6" s="118" t="s">
        <v>378</v>
      </c>
      <c r="C6" s="124">
        <v>1</v>
      </c>
      <c r="D6" s="122" t="s">
        <v>320</v>
      </c>
      <c r="E6" s="98" t="s">
        <v>158</v>
      </c>
      <c r="F6" s="128">
        <v>8.76</v>
      </c>
      <c r="G6" s="130">
        <v>8.76</v>
      </c>
    </row>
    <row r="7" spans="1:7">
      <c r="A7" s="107"/>
      <c r="B7" s="118" t="s">
        <v>356</v>
      </c>
      <c r="C7" s="124">
        <v>3</v>
      </c>
      <c r="D7" s="122" t="s">
        <v>320</v>
      </c>
      <c r="E7" s="98"/>
      <c r="F7" s="128">
        <v>4</v>
      </c>
      <c r="G7" s="130">
        <v>12</v>
      </c>
    </row>
    <row r="8" spans="1:7">
      <c r="A8" s="107"/>
      <c r="B8" s="118" t="s">
        <v>379</v>
      </c>
      <c r="C8" s="124">
        <v>1</v>
      </c>
      <c r="D8" s="122" t="s">
        <v>374</v>
      </c>
      <c r="E8" s="98"/>
      <c r="F8" s="128">
        <v>17.440000000000001</v>
      </c>
      <c r="G8" s="130">
        <v>17.440000000000001</v>
      </c>
    </row>
    <row r="9" spans="1:7">
      <c r="A9" s="107"/>
      <c r="B9" s="118" t="s">
        <v>380</v>
      </c>
      <c r="C9" s="124">
        <v>6</v>
      </c>
      <c r="D9" s="122" t="s">
        <v>102</v>
      </c>
      <c r="E9" s="98"/>
      <c r="F9" s="128">
        <v>2.09</v>
      </c>
      <c r="G9" s="130">
        <f>F9*C9</f>
        <v>12.54</v>
      </c>
    </row>
    <row r="10" spans="1:7">
      <c r="A10" s="96"/>
      <c r="B10" s="118" t="s">
        <v>381</v>
      </c>
      <c r="C10" s="124">
        <v>12</v>
      </c>
      <c r="D10" s="122" t="s">
        <v>102</v>
      </c>
      <c r="E10" s="98" t="s">
        <v>382</v>
      </c>
      <c r="F10" s="128">
        <v>1.24</v>
      </c>
      <c r="G10" s="130">
        <f>F10*C10</f>
        <v>14.879999999999999</v>
      </c>
    </row>
    <row r="11" spans="1:7">
      <c r="A11" s="96"/>
      <c r="B11" s="119" t="s">
        <v>383</v>
      </c>
      <c r="C11" s="124">
        <v>1</v>
      </c>
      <c r="D11" s="122" t="s">
        <v>374</v>
      </c>
      <c r="E11" s="98"/>
      <c r="F11" s="128">
        <v>26.16</v>
      </c>
      <c r="G11" s="130">
        <v>26.16</v>
      </c>
    </row>
    <row r="12" spans="1:7">
      <c r="A12" s="96"/>
      <c r="B12" s="119" t="s">
        <v>384</v>
      </c>
      <c r="C12" s="124">
        <v>3</v>
      </c>
      <c r="D12" s="122" t="s">
        <v>374</v>
      </c>
      <c r="E12" s="98" t="s">
        <v>385</v>
      </c>
      <c r="F12" s="128">
        <v>4.4800000000000004</v>
      </c>
      <c r="G12" s="130">
        <f>F12*C12</f>
        <v>13.440000000000001</v>
      </c>
    </row>
    <row r="13" spans="1:7">
      <c r="A13" s="96"/>
      <c r="B13" s="119" t="s">
        <v>227</v>
      </c>
      <c r="C13" s="124">
        <v>1</v>
      </c>
      <c r="D13" s="122" t="s">
        <v>386</v>
      </c>
      <c r="E13" s="98"/>
      <c r="F13" s="128">
        <v>10.29</v>
      </c>
      <c r="G13" s="130">
        <v>10.29</v>
      </c>
    </row>
    <row r="14" spans="1:7">
      <c r="A14" s="96"/>
      <c r="B14" s="126" t="s">
        <v>387</v>
      </c>
      <c r="C14" s="124">
        <v>1</v>
      </c>
      <c r="D14" s="122" t="s">
        <v>374</v>
      </c>
      <c r="E14" s="98" t="s">
        <v>388</v>
      </c>
      <c r="F14" s="128">
        <v>9.8000000000000007</v>
      </c>
      <c r="G14" s="130">
        <v>9.8000000000000007</v>
      </c>
    </row>
    <row r="15" spans="1:7">
      <c r="A15" s="96"/>
      <c r="B15" s="119" t="s">
        <v>389</v>
      </c>
      <c r="C15" s="124">
        <v>1</v>
      </c>
      <c r="D15" s="122" t="s">
        <v>374</v>
      </c>
      <c r="E15" s="98" t="s">
        <v>390</v>
      </c>
      <c r="F15" s="128">
        <v>20.99</v>
      </c>
      <c r="G15" s="130">
        <v>20.99</v>
      </c>
    </row>
    <row r="16" spans="1:7">
      <c r="A16" s="96"/>
      <c r="B16" s="119" t="s">
        <v>391</v>
      </c>
      <c r="C16" s="124">
        <v>1</v>
      </c>
      <c r="D16" s="122" t="s">
        <v>7</v>
      </c>
      <c r="E16" s="98"/>
      <c r="F16" s="129">
        <v>1.5</v>
      </c>
      <c r="G16" s="131">
        <v>1.5</v>
      </c>
    </row>
    <row r="17" spans="1:7">
      <c r="A17" s="96"/>
      <c r="B17" s="119" t="s">
        <v>392</v>
      </c>
      <c r="C17" s="124">
        <v>1</v>
      </c>
      <c r="D17" s="122" t="s">
        <v>7</v>
      </c>
      <c r="E17" s="98"/>
      <c r="F17" s="128">
        <v>2.41</v>
      </c>
      <c r="G17" s="130">
        <v>2.41</v>
      </c>
    </row>
    <row r="18" spans="1:7">
      <c r="A18" s="96"/>
      <c r="B18" s="119" t="s">
        <v>279</v>
      </c>
      <c r="C18" s="124">
        <v>1</v>
      </c>
      <c r="D18" s="122" t="s">
        <v>7</v>
      </c>
      <c r="E18" s="98"/>
      <c r="F18" s="128">
        <v>1.86</v>
      </c>
      <c r="G18" s="130">
        <v>1.86</v>
      </c>
    </row>
    <row r="19" spans="1:7">
      <c r="A19" s="96"/>
      <c r="B19" s="118" t="s">
        <v>272</v>
      </c>
      <c r="C19" s="124">
        <v>4</v>
      </c>
      <c r="D19" s="122" t="s">
        <v>7</v>
      </c>
      <c r="E19" s="98"/>
      <c r="F19" s="128">
        <v>1.64</v>
      </c>
      <c r="G19" s="130">
        <f>F19*C19</f>
        <v>6.56</v>
      </c>
    </row>
    <row r="20" spans="1:7">
      <c r="A20" s="96"/>
      <c r="B20" s="118" t="s">
        <v>107</v>
      </c>
      <c r="C20" s="124">
        <v>1</v>
      </c>
      <c r="D20" s="122" t="s">
        <v>151</v>
      </c>
      <c r="E20" s="98"/>
      <c r="F20" s="128">
        <v>3.29</v>
      </c>
      <c r="G20" s="130">
        <v>3.29</v>
      </c>
    </row>
    <row r="21" spans="1:7">
      <c r="A21" s="96"/>
      <c r="B21" s="118" t="s">
        <v>393</v>
      </c>
      <c r="C21" s="124">
        <v>2</v>
      </c>
      <c r="D21" s="122" t="s">
        <v>151</v>
      </c>
      <c r="E21" s="98"/>
      <c r="F21" s="128">
        <v>1.39</v>
      </c>
      <c r="G21" s="130">
        <f>F21*C21</f>
        <v>2.78</v>
      </c>
    </row>
    <row r="22" spans="1:7">
      <c r="A22" s="96"/>
      <c r="B22" s="118" t="s">
        <v>371</v>
      </c>
      <c r="C22" s="124">
        <v>4</v>
      </c>
      <c r="D22" s="122" t="s">
        <v>7</v>
      </c>
      <c r="E22" s="98"/>
      <c r="F22" s="128">
        <v>2.19</v>
      </c>
      <c r="G22" s="130">
        <f>F22*C22</f>
        <v>8.76</v>
      </c>
    </row>
    <row r="23" spans="1:7">
      <c r="A23" s="96"/>
      <c r="B23" s="118" t="s">
        <v>273</v>
      </c>
      <c r="C23" s="124">
        <v>4</v>
      </c>
      <c r="D23" s="122" t="s">
        <v>102</v>
      </c>
      <c r="E23" s="98"/>
      <c r="F23" s="128">
        <v>2</v>
      </c>
      <c r="G23" s="130">
        <v>8</v>
      </c>
    </row>
    <row r="24" spans="1:7">
      <c r="A24" s="96"/>
      <c r="B24" s="118" t="s">
        <v>394</v>
      </c>
      <c r="C24" s="124">
        <v>1</v>
      </c>
      <c r="D24" s="122" t="s">
        <v>386</v>
      </c>
      <c r="E24" s="98"/>
      <c r="F24" s="128">
        <v>13.89</v>
      </c>
      <c r="G24" s="130">
        <v>13.89</v>
      </c>
    </row>
    <row r="25" spans="1:7">
      <c r="A25" s="96"/>
      <c r="B25" s="118"/>
      <c r="C25" s="124"/>
      <c r="D25" s="122"/>
      <c r="E25" s="98"/>
      <c r="F25" s="128"/>
      <c r="G25" s="130"/>
    </row>
    <row r="26" spans="1:7">
      <c r="A26" s="96"/>
      <c r="B26" s="118"/>
      <c r="C26" s="124"/>
      <c r="D26" s="122"/>
      <c r="E26" s="98"/>
      <c r="F26" s="128"/>
      <c r="G26" s="130"/>
    </row>
    <row r="27" spans="1:7">
      <c r="A27" s="96"/>
      <c r="B27" s="118"/>
      <c r="C27" s="124"/>
      <c r="D27" s="122"/>
      <c r="E27" s="98"/>
      <c r="F27" s="128"/>
      <c r="G27" s="130"/>
    </row>
    <row r="28" spans="1:7">
      <c r="A28" s="96"/>
      <c r="B28" s="118"/>
      <c r="C28" s="124"/>
      <c r="D28" s="122"/>
      <c r="E28" s="98"/>
      <c r="F28" s="128"/>
      <c r="G28" s="130"/>
    </row>
    <row r="29" spans="1:7">
      <c r="B29" s="120"/>
      <c r="C29" s="125"/>
      <c r="D29" s="120"/>
      <c r="F29" s="114"/>
      <c r="G29" s="114"/>
    </row>
    <row r="30" spans="1:7">
      <c r="B30" s="120"/>
      <c r="C30" s="125"/>
      <c r="D30" s="120"/>
      <c r="F30" s="103">
        <f>SUM(G2:G24)</f>
        <v>277.77</v>
      </c>
      <c r="G30" s="1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ADF1-50B7-4A0C-A185-5F4CCC31D829}">
  <dimension ref="A1:G30"/>
  <sheetViews>
    <sheetView workbookViewId="0">
      <selection activeCell="L14" sqref="L14"/>
    </sheetView>
  </sheetViews>
  <sheetFormatPr defaultRowHeight="17.25" customHeight="1"/>
  <cols>
    <col min="1" max="1" width="16.42578125" bestFit="1" customWidth="1"/>
    <col min="2" max="2" width="26.28515625" customWidth="1"/>
    <col min="3" max="3" width="18.85546875" bestFit="1" customWidth="1"/>
    <col min="4" max="4" width="11.140625" customWidth="1"/>
    <col min="5" max="5" width="30" customWidth="1"/>
    <col min="6" max="6" width="12.28515625" customWidth="1"/>
    <col min="7" max="7" width="17.140625" customWidth="1"/>
  </cols>
  <sheetData>
    <row r="1" spans="1:7" ht="17.25" customHeight="1">
      <c r="A1" s="82" t="s">
        <v>92</v>
      </c>
      <c r="B1" s="117" t="s">
        <v>93</v>
      </c>
      <c r="C1" s="123" t="s">
        <v>348</v>
      </c>
      <c r="D1" s="121" t="s">
        <v>98</v>
      </c>
      <c r="E1" s="84" t="s">
        <v>96</v>
      </c>
      <c r="F1" s="127" t="s">
        <v>99</v>
      </c>
      <c r="G1" s="127" t="s">
        <v>100</v>
      </c>
    </row>
    <row r="2" spans="1:7" ht="17.25" customHeight="1">
      <c r="A2" s="107"/>
      <c r="B2" s="118" t="s">
        <v>395</v>
      </c>
      <c r="C2" s="124">
        <v>1</v>
      </c>
      <c r="D2" s="122" t="s">
        <v>374</v>
      </c>
      <c r="E2" s="98" t="s">
        <v>396</v>
      </c>
      <c r="F2" s="128">
        <v>17.440000000000001</v>
      </c>
      <c r="G2" s="130">
        <v>17.440000000000001</v>
      </c>
    </row>
    <row r="3" spans="1:7" ht="17.25" customHeight="1">
      <c r="A3" s="107"/>
      <c r="B3" s="118" t="s">
        <v>397</v>
      </c>
      <c r="C3" s="124">
        <v>2</v>
      </c>
      <c r="D3" s="122" t="s">
        <v>320</v>
      </c>
      <c r="E3" s="98"/>
      <c r="F3" s="128">
        <v>2.99</v>
      </c>
      <c r="G3" s="130">
        <f>F3*C3</f>
        <v>5.98</v>
      </c>
    </row>
    <row r="4" spans="1:7" ht="17.25" customHeight="1">
      <c r="A4" s="107"/>
      <c r="B4" s="118" t="s">
        <v>352</v>
      </c>
      <c r="C4" s="124">
        <v>1</v>
      </c>
      <c r="D4" s="122" t="s">
        <v>7</v>
      </c>
      <c r="E4" s="98"/>
      <c r="F4" s="128">
        <v>7.94</v>
      </c>
      <c r="G4" s="130">
        <v>7.94</v>
      </c>
    </row>
    <row r="5" spans="1:7" ht="17.25" customHeight="1">
      <c r="A5" s="107"/>
      <c r="B5" s="118" t="s">
        <v>398</v>
      </c>
      <c r="C5" s="124">
        <v>1</v>
      </c>
      <c r="D5" s="122" t="s">
        <v>7</v>
      </c>
      <c r="E5" s="98"/>
      <c r="F5" s="128">
        <v>11.54</v>
      </c>
      <c r="G5" s="130">
        <v>11.54</v>
      </c>
    </row>
    <row r="6" spans="1:7" ht="17.25" customHeight="1">
      <c r="A6" s="107"/>
      <c r="B6" s="118" t="s">
        <v>399</v>
      </c>
      <c r="C6" s="124">
        <v>20</v>
      </c>
      <c r="D6" s="122" t="s">
        <v>217</v>
      </c>
      <c r="E6" s="98"/>
      <c r="F6" s="128">
        <v>0.65</v>
      </c>
      <c r="G6" s="130">
        <f>F6*C6</f>
        <v>13</v>
      </c>
    </row>
    <row r="7" spans="1:7" ht="17.25" customHeight="1">
      <c r="A7" s="107"/>
      <c r="B7" s="118" t="s">
        <v>383</v>
      </c>
      <c r="C7" s="124">
        <v>1</v>
      </c>
      <c r="D7" s="122" t="s">
        <v>374</v>
      </c>
      <c r="E7" s="98"/>
      <c r="F7" s="128">
        <v>24</v>
      </c>
      <c r="G7" s="130">
        <f>F7</f>
        <v>24</v>
      </c>
    </row>
    <row r="8" spans="1:7" ht="17.25" customHeight="1">
      <c r="A8" s="107"/>
      <c r="B8" s="118" t="s">
        <v>379</v>
      </c>
      <c r="C8" s="124">
        <v>1</v>
      </c>
      <c r="D8" s="122" t="s">
        <v>374</v>
      </c>
      <c r="E8" s="98"/>
      <c r="F8" s="128">
        <v>17.440000000000001</v>
      </c>
      <c r="G8" s="130">
        <v>17.440000000000001</v>
      </c>
    </row>
    <row r="9" spans="1:7" ht="17.25" customHeight="1">
      <c r="A9" s="107"/>
      <c r="B9" s="118" t="s">
        <v>400</v>
      </c>
      <c r="C9" s="124">
        <v>7</v>
      </c>
      <c r="D9" s="122" t="s">
        <v>217</v>
      </c>
      <c r="E9" s="98"/>
      <c r="F9" s="128">
        <v>1.73</v>
      </c>
      <c r="G9" s="130">
        <f>F9*C9</f>
        <v>12.11</v>
      </c>
    </row>
    <row r="10" spans="1:7" ht="17.25" customHeight="1">
      <c r="A10" s="96"/>
      <c r="B10" s="118" t="s">
        <v>401</v>
      </c>
      <c r="C10" s="124">
        <v>10</v>
      </c>
      <c r="D10" s="122" t="s">
        <v>217</v>
      </c>
      <c r="E10" s="98"/>
      <c r="F10" s="128">
        <v>0.8</v>
      </c>
      <c r="G10" s="130">
        <f>F10*C10</f>
        <v>8</v>
      </c>
    </row>
    <row r="11" spans="1:7" ht="17.25" customHeight="1">
      <c r="A11" s="96"/>
      <c r="B11" s="119" t="s">
        <v>402</v>
      </c>
      <c r="C11" s="124">
        <v>12</v>
      </c>
      <c r="D11" s="122" t="s">
        <v>147</v>
      </c>
      <c r="E11" s="98"/>
      <c r="F11" s="128">
        <v>2.12</v>
      </c>
      <c r="G11" s="130">
        <f>F11*C11</f>
        <v>25.44</v>
      </c>
    </row>
    <row r="12" spans="1:7" ht="17.25" customHeight="1">
      <c r="A12" s="96"/>
      <c r="B12" s="119" t="s">
        <v>384</v>
      </c>
      <c r="C12" s="124">
        <v>2</v>
      </c>
      <c r="D12" s="122" t="s">
        <v>374</v>
      </c>
      <c r="E12" s="98" t="s">
        <v>385</v>
      </c>
      <c r="F12" s="128">
        <v>4.4800000000000004</v>
      </c>
      <c r="G12" s="130">
        <f>F12*C12</f>
        <v>8.9600000000000009</v>
      </c>
    </row>
    <row r="13" spans="1:7" ht="17.25" customHeight="1">
      <c r="A13" s="96"/>
      <c r="B13" s="119" t="s">
        <v>227</v>
      </c>
      <c r="C13" s="124">
        <v>1</v>
      </c>
      <c r="D13" s="122" t="s">
        <v>386</v>
      </c>
      <c r="E13" s="98"/>
      <c r="F13" s="128">
        <v>8.7899999999999991</v>
      </c>
      <c r="G13" s="130">
        <f>F13</f>
        <v>8.7899999999999991</v>
      </c>
    </row>
    <row r="14" spans="1:7" ht="17.25" customHeight="1">
      <c r="A14" s="96"/>
      <c r="B14" s="126" t="s">
        <v>403</v>
      </c>
      <c r="C14" s="124">
        <v>6</v>
      </c>
      <c r="D14" s="122" t="s">
        <v>147</v>
      </c>
      <c r="E14" s="98"/>
      <c r="F14" s="128">
        <v>1.59</v>
      </c>
      <c r="G14" s="130">
        <f>F14*C14</f>
        <v>9.5400000000000009</v>
      </c>
    </row>
    <row r="15" spans="1:7" ht="17.25" customHeight="1">
      <c r="A15" s="96"/>
      <c r="B15" s="119" t="s">
        <v>404</v>
      </c>
      <c r="C15" s="124">
        <v>6</v>
      </c>
      <c r="D15" s="122" t="s">
        <v>147</v>
      </c>
      <c r="E15" s="98"/>
      <c r="F15" s="128">
        <v>1.99</v>
      </c>
      <c r="G15" s="130">
        <f>F15*C15</f>
        <v>11.94</v>
      </c>
    </row>
    <row r="16" spans="1:7" ht="17.25" customHeight="1">
      <c r="A16" s="96"/>
      <c r="B16" s="119" t="s">
        <v>405</v>
      </c>
      <c r="C16" s="124">
        <v>3</v>
      </c>
      <c r="D16" s="122" t="s">
        <v>151</v>
      </c>
      <c r="E16" s="98" t="s">
        <v>406</v>
      </c>
      <c r="F16" s="129">
        <v>3.29</v>
      </c>
      <c r="G16" s="136">
        <f>F16*C16</f>
        <v>9.870000000000001</v>
      </c>
    </row>
    <row r="17" spans="1:7" ht="17.25" customHeight="1">
      <c r="A17" s="96"/>
      <c r="B17" s="119" t="s">
        <v>407</v>
      </c>
      <c r="C17" s="124">
        <v>3</v>
      </c>
      <c r="D17" s="122" t="s">
        <v>7</v>
      </c>
      <c r="E17" s="98"/>
      <c r="F17" s="128">
        <v>2.4700000000000002</v>
      </c>
      <c r="G17" s="130">
        <f>F17*C17</f>
        <v>7.41</v>
      </c>
    </row>
    <row r="18" spans="1:7" ht="17.25" customHeight="1">
      <c r="A18" s="96"/>
      <c r="B18" s="119" t="s">
        <v>279</v>
      </c>
      <c r="C18" s="124">
        <v>4</v>
      </c>
      <c r="D18" s="122" t="s">
        <v>217</v>
      </c>
      <c r="E18" s="98" t="s">
        <v>408</v>
      </c>
      <c r="F18" s="128">
        <v>1.86</v>
      </c>
      <c r="G18" s="130">
        <f>F18*C18</f>
        <v>7.44</v>
      </c>
    </row>
    <row r="19" spans="1:7" ht="17.25" customHeight="1">
      <c r="A19" s="96"/>
      <c r="B19" s="118" t="s">
        <v>272</v>
      </c>
      <c r="C19" s="124">
        <v>4</v>
      </c>
      <c r="D19" s="122" t="s">
        <v>7</v>
      </c>
      <c r="E19" s="98"/>
      <c r="F19" s="128">
        <v>1.64</v>
      </c>
      <c r="G19" s="130">
        <f>F19*C19</f>
        <v>6.56</v>
      </c>
    </row>
    <row r="20" spans="1:7" ht="17.25" customHeight="1">
      <c r="A20" s="96"/>
      <c r="B20" s="118" t="s">
        <v>107</v>
      </c>
      <c r="C20" s="124">
        <v>2</v>
      </c>
      <c r="D20" s="122" t="s">
        <v>151</v>
      </c>
      <c r="E20" s="98"/>
      <c r="F20" s="128">
        <v>3.29</v>
      </c>
      <c r="G20" s="130">
        <f>F20*C20</f>
        <v>6.58</v>
      </c>
    </row>
    <row r="21" spans="1:7" ht="17.25" customHeight="1">
      <c r="A21" s="96"/>
      <c r="B21" s="118" t="s">
        <v>271</v>
      </c>
      <c r="C21" s="124">
        <v>1</v>
      </c>
      <c r="D21" s="122" t="s">
        <v>194</v>
      </c>
      <c r="E21" s="98" t="s">
        <v>206</v>
      </c>
      <c r="F21" s="128">
        <v>8.24</v>
      </c>
      <c r="G21" s="130">
        <f>F21*C21</f>
        <v>8.24</v>
      </c>
    </row>
    <row r="22" spans="1:7" ht="17.25" customHeight="1">
      <c r="A22" s="96"/>
      <c r="B22" s="118" t="s">
        <v>371</v>
      </c>
      <c r="C22" s="124">
        <v>2</v>
      </c>
      <c r="D22" s="122" t="s">
        <v>7</v>
      </c>
      <c r="E22" s="98"/>
      <c r="F22" s="128">
        <v>2.19</v>
      </c>
      <c r="G22" s="130">
        <f>F22*C22</f>
        <v>4.38</v>
      </c>
    </row>
    <row r="23" spans="1:7" ht="17.25" customHeight="1">
      <c r="A23" s="96"/>
      <c r="B23" s="118" t="s">
        <v>273</v>
      </c>
      <c r="C23" s="124">
        <v>4</v>
      </c>
      <c r="D23" s="122" t="s">
        <v>102</v>
      </c>
      <c r="E23" s="98"/>
      <c r="F23" s="128">
        <v>2</v>
      </c>
      <c r="G23" s="130">
        <v>8</v>
      </c>
    </row>
    <row r="24" spans="1:7" ht="17.25" customHeight="1">
      <c r="A24" s="96"/>
      <c r="B24" s="118" t="s">
        <v>394</v>
      </c>
      <c r="C24" s="124">
        <v>1</v>
      </c>
      <c r="D24" s="122" t="s">
        <v>386</v>
      </c>
      <c r="E24" s="98"/>
      <c r="F24" s="128">
        <v>13.89</v>
      </c>
      <c r="G24" s="130">
        <v>13.89</v>
      </c>
    </row>
    <row r="25" spans="1:7" ht="17.25" customHeight="1">
      <c r="A25" s="96"/>
      <c r="B25" s="118" t="s">
        <v>409</v>
      </c>
      <c r="C25" s="124">
        <v>1</v>
      </c>
      <c r="D25" s="122" t="s">
        <v>194</v>
      </c>
      <c r="E25" s="98" t="s">
        <v>410</v>
      </c>
      <c r="F25" s="128">
        <v>1.97</v>
      </c>
      <c r="G25" s="130">
        <f>F25</f>
        <v>1.97</v>
      </c>
    </row>
    <row r="26" spans="1:7" ht="17.25" customHeight="1">
      <c r="A26" s="96"/>
      <c r="B26" s="118" t="s">
        <v>411</v>
      </c>
      <c r="C26" s="124">
        <v>3</v>
      </c>
      <c r="D26" s="122" t="s">
        <v>151</v>
      </c>
      <c r="E26" s="98" t="s">
        <v>412</v>
      </c>
      <c r="F26" s="128">
        <v>1.26</v>
      </c>
      <c r="G26" s="130">
        <f>F26*C26</f>
        <v>3.7800000000000002</v>
      </c>
    </row>
    <row r="27" spans="1:7" ht="17.25" customHeight="1">
      <c r="A27" s="96"/>
      <c r="B27" s="118" t="s">
        <v>413</v>
      </c>
      <c r="C27" s="124">
        <v>6</v>
      </c>
      <c r="D27" s="122" t="s">
        <v>147</v>
      </c>
      <c r="E27" s="98"/>
      <c r="F27" s="128">
        <v>1.67</v>
      </c>
      <c r="G27" s="130">
        <f>F27*C27</f>
        <v>10.02</v>
      </c>
    </row>
    <row r="28" spans="1:7" ht="17.25" customHeight="1">
      <c r="A28" s="96"/>
      <c r="B28" s="118"/>
      <c r="C28" s="124"/>
      <c r="D28" s="122"/>
      <c r="E28" s="98"/>
      <c r="F28" s="128"/>
      <c r="G28" s="130"/>
    </row>
    <row r="29" spans="1:7" ht="17.25" customHeight="1">
      <c r="B29" s="120"/>
      <c r="C29" s="125"/>
      <c r="D29" s="120"/>
      <c r="F29" s="114"/>
      <c r="G29" s="114"/>
    </row>
    <row r="30" spans="1:7" ht="17.25" customHeight="1">
      <c r="B30" s="120"/>
      <c r="C30" s="125"/>
      <c r="D30" s="120"/>
      <c r="F30" s="103">
        <f>SUM(G2:G28)</f>
        <v>270.26</v>
      </c>
      <c r="G30" s="11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50E0-933B-4BB0-BE09-E839B1D41332}">
  <dimension ref="A1:G22"/>
  <sheetViews>
    <sheetView workbookViewId="0">
      <selection activeCell="J6" sqref="J6"/>
    </sheetView>
  </sheetViews>
  <sheetFormatPr defaultRowHeight="15"/>
  <cols>
    <col min="1" max="1" width="16.42578125" bestFit="1" customWidth="1"/>
    <col min="2" max="2" width="31.42578125" customWidth="1"/>
    <col min="3" max="3" width="18.85546875" bestFit="1" customWidth="1"/>
    <col min="4" max="4" width="11.5703125" customWidth="1"/>
    <col min="5" max="5" width="24.140625" customWidth="1"/>
    <col min="6" max="6" width="14.85546875" customWidth="1"/>
    <col min="7" max="7" width="14.7109375" customWidth="1"/>
  </cols>
  <sheetData>
    <row r="1" spans="1:7" ht="21">
      <c r="A1" s="82" t="s">
        <v>92</v>
      </c>
      <c r="B1" s="117" t="s">
        <v>93</v>
      </c>
      <c r="C1" s="123" t="s">
        <v>348</v>
      </c>
      <c r="D1" s="121" t="s">
        <v>98</v>
      </c>
      <c r="E1" s="84" t="s">
        <v>96</v>
      </c>
      <c r="F1" s="127" t="s">
        <v>99</v>
      </c>
      <c r="G1" s="127" t="s">
        <v>100</v>
      </c>
    </row>
    <row r="2" spans="1:7">
      <c r="A2" s="107"/>
      <c r="B2" s="118" t="s">
        <v>397</v>
      </c>
      <c r="C2" s="124">
        <v>1</v>
      </c>
      <c r="D2" s="122" t="s">
        <v>320</v>
      </c>
      <c r="E2" s="98"/>
      <c r="F2" s="128">
        <v>2.99</v>
      </c>
      <c r="G2" s="130">
        <f>F2*C2</f>
        <v>2.99</v>
      </c>
    </row>
    <row r="3" spans="1:7">
      <c r="A3" s="107"/>
      <c r="B3" s="118" t="s">
        <v>353</v>
      </c>
      <c r="C3" s="124">
        <v>1</v>
      </c>
      <c r="D3" s="122" t="s">
        <v>151</v>
      </c>
      <c r="E3" s="98" t="s">
        <v>377</v>
      </c>
      <c r="F3" s="128">
        <v>7.49</v>
      </c>
      <c r="G3" s="130">
        <v>7.49</v>
      </c>
    </row>
    <row r="4" spans="1:7">
      <c r="A4" s="107"/>
      <c r="B4" s="118" t="s">
        <v>414</v>
      </c>
      <c r="C4" s="124">
        <v>1</v>
      </c>
      <c r="D4" s="122" t="s">
        <v>7</v>
      </c>
      <c r="E4" s="98"/>
      <c r="F4" s="128">
        <v>12.47</v>
      </c>
      <c r="G4" s="130">
        <v>12.47</v>
      </c>
    </row>
    <row r="5" spans="1:7">
      <c r="A5" s="107"/>
      <c r="B5" s="118" t="s">
        <v>383</v>
      </c>
      <c r="C5" s="124">
        <v>1</v>
      </c>
      <c r="D5" s="122" t="s">
        <v>374</v>
      </c>
      <c r="E5" s="98"/>
      <c r="F5" s="128">
        <v>24</v>
      </c>
      <c r="G5" s="130">
        <f>F5</f>
        <v>24</v>
      </c>
    </row>
    <row r="6" spans="1:7">
      <c r="A6" s="107"/>
      <c r="B6" s="118" t="s">
        <v>415</v>
      </c>
      <c r="C6" s="124">
        <v>10</v>
      </c>
      <c r="D6" s="122" t="s">
        <v>416</v>
      </c>
      <c r="E6" s="98" t="s">
        <v>417</v>
      </c>
      <c r="F6" s="128">
        <v>2.12</v>
      </c>
      <c r="G6" s="130">
        <f>F6*C6</f>
        <v>21.200000000000003</v>
      </c>
    </row>
    <row r="7" spans="1:7">
      <c r="A7" s="96"/>
      <c r="B7" s="119" t="s">
        <v>418</v>
      </c>
      <c r="C7" s="124">
        <v>1</v>
      </c>
      <c r="D7" s="122" t="s">
        <v>374</v>
      </c>
      <c r="E7" s="98" t="s">
        <v>419</v>
      </c>
      <c r="F7" s="128">
        <v>11.77</v>
      </c>
      <c r="G7" s="130">
        <f>F7*C7</f>
        <v>11.77</v>
      </c>
    </row>
    <row r="8" spans="1:7">
      <c r="A8" s="96"/>
      <c r="B8" s="119" t="s">
        <v>227</v>
      </c>
      <c r="C8" s="124">
        <v>2</v>
      </c>
      <c r="D8" s="122" t="s">
        <v>386</v>
      </c>
      <c r="E8" s="98"/>
      <c r="F8" s="128">
        <v>8.7899999999999991</v>
      </c>
      <c r="G8" s="130">
        <f>F8*C8</f>
        <v>17.579999999999998</v>
      </c>
    </row>
    <row r="9" spans="1:7">
      <c r="A9" s="96"/>
      <c r="B9" s="126" t="s">
        <v>420</v>
      </c>
      <c r="C9" s="124">
        <v>1</v>
      </c>
      <c r="D9" s="122" t="s">
        <v>151</v>
      </c>
      <c r="E9" s="98" t="s">
        <v>377</v>
      </c>
      <c r="F9" s="128">
        <v>0.65</v>
      </c>
      <c r="G9" s="130">
        <f>F9*C9</f>
        <v>0.65</v>
      </c>
    </row>
    <row r="10" spans="1:7">
      <c r="A10" s="96"/>
      <c r="B10" s="119" t="s">
        <v>404</v>
      </c>
      <c r="C10" s="124">
        <v>6</v>
      </c>
      <c r="D10" s="122" t="s">
        <v>147</v>
      </c>
      <c r="E10" s="98"/>
      <c r="F10" s="128">
        <v>1.99</v>
      </c>
      <c r="G10" s="130">
        <f>F10*C10</f>
        <v>11.94</v>
      </c>
    </row>
    <row r="11" spans="1:7">
      <c r="A11" s="96"/>
      <c r="B11" s="119" t="s">
        <v>405</v>
      </c>
      <c r="C11" s="124">
        <v>1</v>
      </c>
      <c r="D11" s="122" t="s">
        <v>151</v>
      </c>
      <c r="E11" s="98" t="s">
        <v>110</v>
      </c>
      <c r="F11" s="129">
        <v>3.29</v>
      </c>
      <c r="G11" s="136">
        <v>3.29</v>
      </c>
    </row>
    <row r="12" spans="1:7">
      <c r="A12" s="96"/>
      <c r="B12" s="119" t="s">
        <v>279</v>
      </c>
      <c r="C12" s="124">
        <v>4</v>
      </c>
      <c r="D12" s="122" t="s">
        <v>217</v>
      </c>
      <c r="E12" s="98" t="s">
        <v>408</v>
      </c>
      <c r="F12" s="128">
        <v>1.97</v>
      </c>
      <c r="G12" s="130">
        <f>F12*C12</f>
        <v>7.88</v>
      </c>
    </row>
    <row r="13" spans="1:7">
      <c r="A13" s="96"/>
      <c r="B13" s="118" t="s">
        <v>421</v>
      </c>
      <c r="C13" s="124">
        <v>1</v>
      </c>
      <c r="D13" s="122" t="s">
        <v>324</v>
      </c>
      <c r="E13" s="98" t="s">
        <v>422</v>
      </c>
      <c r="F13" s="128">
        <v>7.39</v>
      </c>
      <c r="G13" s="130">
        <f>F13*C13</f>
        <v>7.39</v>
      </c>
    </row>
    <row r="14" spans="1:7">
      <c r="A14" s="96"/>
      <c r="B14" s="118" t="s">
        <v>409</v>
      </c>
      <c r="C14" s="124">
        <v>1</v>
      </c>
      <c r="D14" s="122" t="s">
        <v>151</v>
      </c>
      <c r="E14" s="98" t="s">
        <v>377</v>
      </c>
      <c r="F14" s="128">
        <v>1.97</v>
      </c>
      <c r="G14" s="130">
        <f>F14*C14</f>
        <v>1.97</v>
      </c>
    </row>
    <row r="15" spans="1:7">
      <c r="A15" s="96"/>
      <c r="B15" s="118" t="s">
        <v>271</v>
      </c>
      <c r="C15" s="124">
        <v>1</v>
      </c>
      <c r="D15" s="122" t="s">
        <v>194</v>
      </c>
      <c r="E15" s="98" t="s">
        <v>206</v>
      </c>
      <c r="F15" s="128">
        <v>8.24</v>
      </c>
      <c r="G15" s="130">
        <f>F15*C15</f>
        <v>8.24</v>
      </c>
    </row>
    <row r="16" spans="1:7">
      <c r="A16" s="96"/>
      <c r="B16" s="118" t="s">
        <v>371</v>
      </c>
      <c r="C16" s="124">
        <v>2</v>
      </c>
      <c r="D16" s="122" t="s">
        <v>7</v>
      </c>
      <c r="E16" s="98"/>
      <c r="F16" s="128">
        <v>2.19</v>
      </c>
      <c r="G16" s="130">
        <f>F16*C16</f>
        <v>4.38</v>
      </c>
    </row>
    <row r="17" spans="1:7">
      <c r="A17" s="96"/>
      <c r="B17" s="118" t="s">
        <v>273</v>
      </c>
      <c r="C17" s="124">
        <v>4</v>
      </c>
      <c r="D17" s="122" t="s">
        <v>102</v>
      </c>
      <c r="E17" s="98"/>
      <c r="F17" s="128">
        <v>2</v>
      </c>
      <c r="G17" s="130">
        <v>8</v>
      </c>
    </row>
    <row r="18" spans="1:7">
      <c r="A18" s="96"/>
      <c r="B18" s="118" t="s">
        <v>409</v>
      </c>
      <c r="C18" s="124">
        <v>1</v>
      </c>
      <c r="D18" s="122" t="s">
        <v>194</v>
      </c>
      <c r="E18" s="98" t="s">
        <v>410</v>
      </c>
      <c r="F18" s="128">
        <v>1.97</v>
      </c>
      <c r="G18" s="130">
        <f>F18</f>
        <v>1.97</v>
      </c>
    </row>
    <row r="19" spans="1:7">
      <c r="A19" s="96"/>
      <c r="B19" s="118"/>
      <c r="C19" s="124"/>
      <c r="D19" s="122"/>
      <c r="E19" s="98"/>
      <c r="F19" s="128"/>
      <c r="G19" s="130"/>
    </row>
    <row r="20" spans="1:7">
      <c r="A20" s="96"/>
      <c r="B20" s="118"/>
      <c r="C20" s="124"/>
      <c r="D20" s="122"/>
      <c r="E20" s="98"/>
      <c r="F20" s="128"/>
      <c r="G20" s="130"/>
    </row>
    <row r="21" spans="1:7">
      <c r="B21" s="120"/>
      <c r="C21" s="125"/>
      <c r="D21" s="120"/>
      <c r="F21" s="114"/>
      <c r="G21" s="114"/>
    </row>
    <row r="22" spans="1:7">
      <c r="B22" s="120"/>
      <c r="C22" s="125"/>
      <c r="D22" s="120"/>
      <c r="F22" s="103">
        <f>SUM(G2:G20)</f>
        <v>153.21</v>
      </c>
      <c r="G22" s="11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293D-30C3-4B68-A7B0-713C8CC00D29}">
  <dimension ref="A1:G33"/>
  <sheetViews>
    <sheetView workbookViewId="0"/>
  </sheetViews>
  <sheetFormatPr defaultRowHeight="17.25" customHeight="1"/>
  <cols>
    <col min="1" max="1" width="16.42578125" bestFit="1" customWidth="1"/>
    <col min="2" max="2" width="36.7109375" customWidth="1"/>
    <col min="3" max="3" width="20.140625" customWidth="1"/>
    <col min="4" max="4" width="12.28515625" customWidth="1"/>
    <col min="5" max="5" width="25.85546875" customWidth="1"/>
    <col min="6" max="6" width="17.42578125" customWidth="1"/>
    <col min="7" max="7" width="18.85546875" customWidth="1"/>
  </cols>
  <sheetData>
    <row r="1" spans="1:7" ht="17.25" customHeight="1">
      <c r="A1" s="82" t="s">
        <v>92</v>
      </c>
      <c r="B1" s="117" t="s">
        <v>93</v>
      </c>
      <c r="C1" s="123" t="s">
        <v>348</v>
      </c>
      <c r="D1" s="121" t="s">
        <v>98</v>
      </c>
      <c r="E1" s="84" t="s">
        <v>96</v>
      </c>
      <c r="F1" s="127" t="s">
        <v>423</v>
      </c>
      <c r="G1" s="127" t="s">
        <v>100</v>
      </c>
    </row>
    <row r="2" spans="1:7" ht="17.25" customHeight="1">
      <c r="A2" s="107"/>
      <c r="B2" s="118" t="s">
        <v>424</v>
      </c>
      <c r="C2" s="124">
        <v>40</v>
      </c>
      <c r="D2" s="122" t="s">
        <v>217</v>
      </c>
      <c r="E2" s="98"/>
      <c r="F2" s="128">
        <v>0.36</v>
      </c>
      <c r="G2" s="130">
        <f>C2*F2</f>
        <v>14.399999999999999</v>
      </c>
    </row>
    <row r="3" spans="1:7" ht="17.25" customHeight="1">
      <c r="A3" s="107"/>
      <c r="B3" s="118" t="s">
        <v>425</v>
      </c>
      <c r="C3" s="124">
        <v>4</v>
      </c>
      <c r="D3" s="122" t="s">
        <v>217</v>
      </c>
      <c r="E3" s="98"/>
      <c r="F3" s="128">
        <v>1.29</v>
      </c>
      <c r="G3" s="130">
        <f t="shared" ref="G3:G30" si="0">C3*F3</f>
        <v>5.16</v>
      </c>
    </row>
    <row r="4" spans="1:7" ht="17.25" customHeight="1">
      <c r="A4" s="107"/>
      <c r="B4" s="118" t="s">
        <v>352</v>
      </c>
      <c r="C4" s="124">
        <v>1</v>
      </c>
      <c r="D4" s="122" t="s">
        <v>7</v>
      </c>
      <c r="E4" s="98"/>
      <c r="F4" s="128">
        <v>10.220000000000001</v>
      </c>
      <c r="G4" s="130">
        <f t="shared" si="0"/>
        <v>10.220000000000001</v>
      </c>
    </row>
    <row r="5" spans="1:7" ht="17.25" customHeight="1">
      <c r="A5" s="107"/>
      <c r="B5" s="118" t="s">
        <v>426</v>
      </c>
      <c r="C5" s="124">
        <v>1</v>
      </c>
      <c r="D5" s="122" t="s">
        <v>7</v>
      </c>
      <c r="E5" s="98"/>
      <c r="F5" s="128">
        <v>11.54</v>
      </c>
      <c r="G5" s="130">
        <f t="shared" si="0"/>
        <v>11.54</v>
      </c>
    </row>
    <row r="6" spans="1:7" ht="17.25" customHeight="1">
      <c r="A6" s="107"/>
      <c r="B6" s="118" t="s">
        <v>427</v>
      </c>
      <c r="C6" s="124">
        <v>3</v>
      </c>
      <c r="D6" s="122" t="s">
        <v>7</v>
      </c>
      <c r="E6" s="98"/>
      <c r="F6" s="128">
        <v>7.33</v>
      </c>
      <c r="G6" s="130">
        <f t="shared" si="0"/>
        <v>21.990000000000002</v>
      </c>
    </row>
    <row r="7" spans="1:7" ht="17.25" customHeight="1">
      <c r="A7" s="107"/>
      <c r="B7" s="118" t="s">
        <v>428</v>
      </c>
      <c r="C7" s="124">
        <v>1</v>
      </c>
      <c r="D7" s="122" t="s">
        <v>151</v>
      </c>
      <c r="E7" s="98" t="s">
        <v>429</v>
      </c>
      <c r="F7" s="128">
        <v>3.29</v>
      </c>
      <c r="G7" s="130">
        <f t="shared" si="0"/>
        <v>3.29</v>
      </c>
    </row>
    <row r="8" spans="1:7" ht="17.25" customHeight="1">
      <c r="A8" s="107"/>
      <c r="B8" s="118" t="s">
        <v>430</v>
      </c>
      <c r="C8" s="124">
        <v>4</v>
      </c>
      <c r="D8" s="122" t="s">
        <v>217</v>
      </c>
      <c r="E8" s="98"/>
      <c r="F8" s="128">
        <v>1.49</v>
      </c>
      <c r="G8" s="130">
        <f t="shared" si="0"/>
        <v>5.96</v>
      </c>
    </row>
    <row r="9" spans="1:7" ht="17.25" customHeight="1">
      <c r="A9" s="107"/>
      <c r="B9" s="118" t="s">
        <v>431</v>
      </c>
      <c r="C9" s="124">
        <v>4</v>
      </c>
      <c r="D9" s="122" t="s">
        <v>217</v>
      </c>
      <c r="E9" s="98"/>
      <c r="F9" s="128">
        <v>1.49</v>
      </c>
      <c r="G9" s="130">
        <f t="shared" si="0"/>
        <v>5.96</v>
      </c>
    </row>
    <row r="10" spans="1:7" ht="17.25" customHeight="1">
      <c r="A10" s="96"/>
      <c r="B10" s="118" t="s">
        <v>432</v>
      </c>
      <c r="C10" s="124">
        <v>2</v>
      </c>
      <c r="D10" s="122" t="s">
        <v>7</v>
      </c>
      <c r="E10" s="98"/>
      <c r="F10" s="128">
        <v>11.54</v>
      </c>
      <c r="G10" s="130">
        <f t="shared" si="0"/>
        <v>23.08</v>
      </c>
    </row>
    <row r="11" spans="1:7" ht="17.25" customHeight="1">
      <c r="A11" s="96"/>
      <c r="B11" s="119" t="s">
        <v>383</v>
      </c>
      <c r="C11" s="124">
        <v>2</v>
      </c>
      <c r="D11" s="122" t="s">
        <v>138</v>
      </c>
      <c r="E11" s="98"/>
      <c r="F11" s="128">
        <v>24</v>
      </c>
      <c r="G11" s="130">
        <f t="shared" si="0"/>
        <v>48</v>
      </c>
    </row>
    <row r="12" spans="1:7" ht="17.25" customHeight="1">
      <c r="A12" s="96"/>
      <c r="B12" s="119" t="s">
        <v>433</v>
      </c>
      <c r="C12" s="124">
        <v>4</v>
      </c>
      <c r="D12" s="122" t="s">
        <v>217</v>
      </c>
      <c r="E12" s="98"/>
      <c r="F12" s="128">
        <v>1.56</v>
      </c>
      <c r="G12" s="130">
        <f t="shared" si="0"/>
        <v>6.24</v>
      </c>
    </row>
    <row r="13" spans="1:7" ht="17.25" customHeight="1">
      <c r="A13" s="96"/>
      <c r="B13" s="119" t="s">
        <v>227</v>
      </c>
      <c r="C13" s="124">
        <v>2</v>
      </c>
      <c r="D13" s="122" t="s">
        <v>194</v>
      </c>
      <c r="E13" s="98" t="s">
        <v>434</v>
      </c>
      <c r="F13" s="128">
        <v>8.7899999999999991</v>
      </c>
      <c r="G13" s="130">
        <f t="shared" si="0"/>
        <v>17.579999999999998</v>
      </c>
    </row>
    <row r="14" spans="1:7" ht="17.25" customHeight="1">
      <c r="A14" s="96"/>
      <c r="B14" s="126" t="s">
        <v>435</v>
      </c>
      <c r="C14" s="124">
        <v>80</v>
      </c>
      <c r="D14" s="122" t="s">
        <v>217</v>
      </c>
      <c r="E14" s="98"/>
      <c r="F14" s="128">
        <v>1.28</v>
      </c>
      <c r="G14" s="130">
        <f t="shared" si="0"/>
        <v>102.4</v>
      </c>
    </row>
    <row r="15" spans="1:7" ht="17.25" customHeight="1">
      <c r="A15" s="96"/>
      <c r="B15" s="119" t="s">
        <v>414</v>
      </c>
      <c r="C15" s="124">
        <v>1</v>
      </c>
      <c r="D15" s="122" t="s">
        <v>7</v>
      </c>
      <c r="E15" s="98"/>
      <c r="F15" s="128">
        <v>12.47</v>
      </c>
      <c r="G15" s="130">
        <f t="shared" si="0"/>
        <v>12.47</v>
      </c>
    </row>
    <row r="16" spans="1:7" ht="17.25" customHeight="1">
      <c r="A16" s="96"/>
      <c r="B16" s="119" t="s">
        <v>436</v>
      </c>
      <c r="C16" s="124">
        <v>12</v>
      </c>
      <c r="D16" s="122" t="s">
        <v>147</v>
      </c>
      <c r="E16" s="98"/>
      <c r="F16" s="129">
        <v>1.79</v>
      </c>
      <c r="G16" s="130">
        <f t="shared" si="0"/>
        <v>21.48</v>
      </c>
    </row>
    <row r="17" spans="1:7" ht="17.25" customHeight="1">
      <c r="A17" s="96"/>
      <c r="B17" s="119" t="s">
        <v>437</v>
      </c>
      <c r="C17" s="124">
        <v>8</v>
      </c>
      <c r="D17" s="122" t="s">
        <v>147</v>
      </c>
      <c r="E17" s="98"/>
      <c r="F17" s="128">
        <v>1.61</v>
      </c>
      <c r="G17" s="130">
        <f t="shared" si="0"/>
        <v>12.88</v>
      </c>
    </row>
    <row r="18" spans="1:7" ht="17.25" customHeight="1">
      <c r="A18" s="96"/>
      <c r="B18" s="119" t="s">
        <v>271</v>
      </c>
      <c r="C18" s="124">
        <v>3</v>
      </c>
      <c r="D18" s="122" t="s">
        <v>7</v>
      </c>
      <c r="E18" s="98"/>
      <c r="F18" s="128">
        <v>8.24</v>
      </c>
      <c r="G18" s="130">
        <f t="shared" si="0"/>
        <v>24.72</v>
      </c>
    </row>
    <row r="19" spans="1:7" ht="17.25" customHeight="1">
      <c r="A19" s="96"/>
      <c r="B19" s="119" t="s">
        <v>279</v>
      </c>
      <c r="C19" s="124">
        <v>1</v>
      </c>
      <c r="D19" s="122" t="s">
        <v>7</v>
      </c>
      <c r="E19" s="98"/>
      <c r="F19" s="128">
        <v>1.97</v>
      </c>
      <c r="G19" s="130">
        <f t="shared" si="0"/>
        <v>1.97</v>
      </c>
    </row>
    <row r="20" spans="1:7" ht="17.25" customHeight="1">
      <c r="A20" s="96"/>
      <c r="B20" s="118" t="s">
        <v>272</v>
      </c>
      <c r="C20" s="124">
        <v>6</v>
      </c>
      <c r="D20" s="122" t="s">
        <v>7</v>
      </c>
      <c r="E20" s="98"/>
      <c r="F20" s="128">
        <v>1.64</v>
      </c>
      <c r="G20" s="130">
        <f t="shared" si="0"/>
        <v>9.84</v>
      </c>
    </row>
    <row r="21" spans="1:7" ht="17.25" customHeight="1">
      <c r="A21" s="96"/>
      <c r="B21" s="118" t="s">
        <v>407</v>
      </c>
      <c r="C21" s="124">
        <v>2</v>
      </c>
      <c r="D21" s="122" t="s">
        <v>151</v>
      </c>
      <c r="E21" s="98" t="s">
        <v>438</v>
      </c>
      <c r="F21" s="128">
        <v>2.4700000000000002</v>
      </c>
      <c r="G21" s="130">
        <f t="shared" si="0"/>
        <v>4.9400000000000004</v>
      </c>
    </row>
    <row r="22" spans="1:7" ht="17.25" customHeight="1">
      <c r="A22" s="96"/>
      <c r="B22" s="118" t="s">
        <v>107</v>
      </c>
      <c r="C22" s="124">
        <v>1</v>
      </c>
      <c r="D22" s="122" t="s">
        <v>7</v>
      </c>
      <c r="E22" s="98"/>
      <c r="F22" s="128">
        <v>3.29</v>
      </c>
      <c r="G22" s="130">
        <f t="shared" si="0"/>
        <v>3.29</v>
      </c>
    </row>
    <row r="23" spans="1:7" ht="17.25" customHeight="1">
      <c r="A23" s="96"/>
      <c r="B23" s="118" t="s">
        <v>439</v>
      </c>
      <c r="C23" s="124">
        <v>2</v>
      </c>
      <c r="D23" s="122" t="s">
        <v>151</v>
      </c>
      <c r="E23" s="98" t="s">
        <v>440</v>
      </c>
      <c r="F23" s="128">
        <v>3.07</v>
      </c>
      <c r="G23" s="130">
        <f t="shared" si="0"/>
        <v>6.14</v>
      </c>
    </row>
    <row r="24" spans="1:7" ht="17.25" customHeight="1">
      <c r="A24" s="96"/>
      <c r="B24" s="118" t="s">
        <v>441</v>
      </c>
      <c r="C24" s="124">
        <v>6</v>
      </c>
      <c r="D24" s="122" t="s">
        <v>147</v>
      </c>
      <c r="E24" s="98"/>
      <c r="F24" s="128">
        <v>1.59</v>
      </c>
      <c r="G24" s="130">
        <f t="shared" si="0"/>
        <v>9.5400000000000009</v>
      </c>
    </row>
    <row r="25" spans="1:7" ht="17.25" customHeight="1">
      <c r="A25" s="96"/>
      <c r="B25" s="118" t="s">
        <v>371</v>
      </c>
      <c r="C25" s="124">
        <v>2</v>
      </c>
      <c r="D25" s="122" t="s">
        <v>7</v>
      </c>
      <c r="E25" s="98"/>
      <c r="F25" s="128">
        <v>2.19</v>
      </c>
      <c r="G25" s="130">
        <f t="shared" si="0"/>
        <v>4.38</v>
      </c>
    </row>
    <row r="26" spans="1:7" ht="17.25" customHeight="1">
      <c r="A26" s="96"/>
      <c r="B26" s="118" t="s">
        <v>273</v>
      </c>
      <c r="C26" s="124">
        <v>4</v>
      </c>
      <c r="D26" s="122" t="s">
        <v>217</v>
      </c>
      <c r="E26" s="98"/>
      <c r="F26" s="128">
        <v>2</v>
      </c>
      <c r="G26" s="130">
        <f t="shared" si="0"/>
        <v>8</v>
      </c>
    </row>
    <row r="27" spans="1:7" ht="17.25" customHeight="1">
      <c r="A27" s="96"/>
      <c r="B27" s="118" t="s">
        <v>394</v>
      </c>
      <c r="C27" s="124">
        <v>1</v>
      </c>
      <c r="D27" s="122" t="s">
        <v>194</v>
      </c>
      <c r="E27" s="98"/>
      <c r="F27" s="128">
        <v>13.89</v>
      </c>
      <c r="G27" s="130">
        <f t="shared" si="0"/>
        <v>13.89</v>
      </c>
    </row>
    <row r="28" spans="1:7" ht="17.25" customHeight="1">
      <c r="A28" s="96"/>
      <c r="B28" s="118" t="s">
        <v>442</v>
      </c>
      <c r="C28" s="124">
        <v>2</v>
      </c>
      <c r="D28" s="122" t="s">
        <v>147</v>
      </c>
      <c r="E28" s="98"/>
      <c r="F28" s="128">
        <v>1.65</v>
      </c>
      <c r="G28" s="130">
        <f t="shared" si="0"/>
        <v>3.3</v>
      </c>
    </row>
    <row r="29" spans="1:7" ht="17.25" customHeight="1">
      <c r="A29" s="96"/>
      <c r="B29" s="118" t="s">
        <v>405</v>
      </c>
      <c r="C29" s="124">
        <v>1</v>
      </c>
      <c r="D29" s="122" t="s">
        <v>7</v>
      </c>
      <c r="E29" s="98"/>
      <c r="F29" s="128">
        <v>3.29</v>
      </c>
      <c r="G29" s="130">
        <f t="shared" si="0"/>
        <v>3.29</v>
      </c>
    </row>
    <row r="30" spans="1:7" ht="17.25" customHeight="1">
      <c r="A30" s="96"/>
      <c r="B30" s="118" t="s">
        <v>443</v>
      </c>
      <c r="C30" s="124">
        <v>1</v>
      </c>
      <c r="D30" s="122" t="s">
        <v>7</v>
      </c>
      <c r="E30" s="98"/>
      <c r="F30" s="128">
        <v>2.19</v>
      </c>
      <c r="G30" s="130">
        <f t="shared" si="0"/>
        <v>2.19</v>
      </c>
    </row>
    <row r="31" spans="1:7" ht="17.25" customHeight="1">
      <c r="A31" s="96"/>
      <c r="B31" s="118"/>
      <c r="C31" s="124"/>
      <c r="D31" s="122"/>
      <c r="E31" s="98"/>
      <c r="F31" s="128"/>
      <c r="G31" s="130"/>
    </row>
    <row r="32" spans="1:7" ht="17.25" customHeight="1">
      <c r="B32" s="120"/>
      <c r="C32" s="125"/>
      <c r="D32" s="120"/>
      <c r="F32" s="114"/>
      <c r="G32" s="114"/>
    </row>
    <row r="33" spans="2:7" ht="17.25" customHeight="1">
      <c r="B33" s="120"/>
      <c r="C33" s="125"/>
      <c r="D33" s="120"/>
      <c r="F33" s="138" t="s">
        <v>311</v>
      </c>
      <c r="G33" s="137">
        <f>SUM(G2:G32)</f>
        <v>418.14000000000016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FF6E-17A0-4C5C-BD66-88F138C7577E}">
  <dimension ref="A1:K214"/>
  <sheetViews>
    <sheetView topLeftCell="A193" workbookViewId="0">
      <selection activeCell="F7" sqref="F7"/>
    </sheetView>
  </sheetViews>
  <sheetFormatPr defaultRowHeight="15"/>
  <cols>
    <col min="1" max="1" width="7.7109375" bestFit="1" customWidth="1"/>
    <col min="2" max="2" width="32" bestFit="1" customWidth="1"/>
    <col min="3" max="3" width="13.28515625" bestFit="1" customWidth="1"/>
    <col min="4" max="4" width="7.140625" bestFit="1" customWidth="1"/>
    <col min="5" max="5" width="9.85546875" bestFit="1" customWidth="1"/>
    <col min="6" max="6" width="12.42578125" bestFit="1" customWidth="1"/>
  </cols>
  <sheetData>
    <row r="1" spans="1:6">
      <c r="A1" s="139" t="s">
        <v>276</v>
      </c>
      <c r="B1" s="139" t="s">
        <v>444</v>
      </c>
      <c r="C1" s="139" t="s">
        <v>445</v>
      </c>
      <c r="D1" s="139" t="s">
        <v>99</v>
      </c>
      <c r="E1" s="139" t="s">
        <v>100</v>
      </c>
      <c r="F1" s="139" t="s">
        <v>446</v>
      </c>
    </row>
    <row r="2" spans="1:6">
      <c r="A2">
        <v>2.0299999999999998</v>
      </c>
      <c r="B2" t="s">
        <v>252</v>
      </c>
      <c r="C2">
        <v>24</v>
      </c>
      <c r="D2" s="140">
        <v>2.12</v>
      </c>
      <c r="E2" s="140">
        <v>50.88</v>
      </c>
      <c r="F2" s="140">
        <f>IF(OR(ISNUMBER(SEARCH("croissant",B2)),ISNUMBER(SEARCH("bretzel",B2)),ISNUMBER(SEARCH("bretzle",B2))),C2*2.9,E2*1.3)</f>
        <v>66.144000000000005</v>
      </c>
    </row>
    <row r="3" spans="1:6">
      <c r="A3">
        <v>2.0299999999999998</v>
      </c>
      <c r="B3" t="s">
        <v>447</v>
      </c>
      <c r="C3">
        <v>2</v>
      </c>
      <c r="D3" s="140">
        <v>8.7899999999999991</v>
      </c>
      <c r="E3" s="140">
        <v>17.579999999999998</v>
      </c>
      <c r="F3" s="140">
        <f t="shared" ref="F3:F66" si="0">IF(OR(ISNUMBER(SEARCH("croissant",B3)),ISNUMBER(SEARCH("bretzel",B3)),ISNUMBER(SEARCH("bretzle",B3))),C3*2.9,E3*1.3)</f>
        <v>22.853999999999999</v>
      </c>
    </row>
    <row r="4" spans="1:6">
      <c r="A4">
        <v>2.0299999999999998</v>
      </c>
      <c r="B4" t="s">
        <v>310</v>
      </c>
      <c r="C4">
        <v>30</v>
      </c>
      <c r="D4" s="140">
        <v>0.6</v>
      </c>
      <c r="E4" s="140">
        <v>18</v>
      </c>
      <c r="F4" s="140">
        <f t="shared" si="0"/>
        <v>87</v>
      </c>
    </row>
    <row r="5" spans="1:6">
      <c r="A5">
        <v>2.0299999999999998</v>
      </c>
      <c r="B5" t="s">
        <v>219</v>
      </c>
      <c r="C5">
        <v>10</v>
      </c>
      <c r="D5" s="140">
        <v>0.5</v>
      </c>
      <c r="E5" s="140">
        <v>5</v>
      </c>
      <c r="F5" s="140">
        <f t="shared" si="0"/>
        <v>29</v>
      </c>
    </row>
    <row r="6" spans="1:6">
      <c r="A6">
        <v>2.0299999999999998</v>
      </c>
      <c r="B6" t="s">
        <v>271</v>
      </c>
      <c r="C6">
        <v>10</v>
      </c>
      <c r="D6" s="140">
        <v>1.57</v>
      </c>
      <c r="E6" s="140">
        <v>15.7</v>
      </c>
      <c r="F6" s="140">
        <f t="shared" si="0"/>
        <v>20.41</v>
      </c>
    </row>
    <row r="7" spans="1:6">
      <c r="A7">
        <v>2.0299999999999998</v>
      </c>
      <c r="B7" t="s">
        <v>272</v>
      </c>
      <c r="C7">
        <v>6</v>
      </c>
      <c r="D7" s="140">
        <v>1.62</v>
      </c>
      <c r="E7" s="140">
        <v>9.7200000000000006</v>
      </c>
      <c r="F7" s="140">
        <f t="shared" si="0"/>
        <v>12.636000000000001</v>
      </c>
    </row>
    <row r="8" spans="1:6">
      <c r="A8">
        <v>2.0299999999999998</v>
      </c>
      <c r="B8" t="s">
        <v>273</v>
      </c>
      <c r="C8">
        <v>2</v>
      </c>
      <c r="D8" s="140">
        <v>2.5</v>
      </c>
      <c r="E8" s="140">
        <v>5</v>
      </c>
      <c r="F8" s="140">
        <f t="shared" si="0"/>
        <v>6.5</v>
      </c>
    </row>
    <row r="9" spans="1:6">
      <c r="A9">
        <v>2.0299999999999998</v>
      </c>
      <c r="B9" t="s">
        <v>448</v>
      </c>
      <c r="C9">
        <v>6</v>
      </c>
      <c r="D9" s="140">
        <v>1.8</v>
      </c>
      <c r="E9" s="140">
        <v>10.8</v>
      </c>
      <c r="F9" s="140">
        <f t="shared" si="0"/>
        <v>14.040000000000001</v>
      </c>
    </row>
    <row r="10" spans="1:6">
      <c r="A10">
        <v>4.03</v>
      </c>
      <c r="B10" t="s">
        <v>272</v>
      </c>
      <c r="C10">
        <v>6</v>
      </c>
      <c r="D10" s="140">
        <v>1.62</v>
      </c>
      <c r="E10" s="140">
        <v>9.7200000000000006</v>
      </c>
      <c r="F10" s="140">
        <f t="shared" si="0"/>
        <v>12.636000000000001</v>
      </c>
    </row>
    <row r="11" spans="1:6">
      <c r="A11">
        <v>4.03</v>
      </c>
      <c r="B11" t="s">
        <v>279</v>
      </c>
      <c r="C11">
        <v>1</v>
      </c>
      <c r="D11" s="140">
        <v>3.94</v>
      </c>
      <c r="E11" s="140">
        <v>3.94</v>
      </c>
      <c r="F11" s="140">
        <f t="shared" si="0"/>
        <v>5.1219999999999999</v>
      </c>
    </row>
    <row r="12" spans="1:6">
      <c r="A12">
        <v>4.03</v>
      </c>
      <c r="B12" t="s">
        <v>449</v>
      </c>
      <c r="C12">
        <v>1</v>
      </c>
      <c r="D12" s="140">
        <v>3.12</v>
      </c>
      <c r="E12" s="140">
        <v>3.12</v>
      </c>
      <c r="F12" s="140">
        <f t="shared" si="0"/>
        <v>4.056</v>
      </c>
    </row>
    <row r="13" spans="1:6">
      <c r="A13">
        <v>4.03</v>
      </c>
      <c r="B13" t="s">
        <v>371</v>
      </c>
      <c r="C13">
        <v>1</v>
      </c>
      <c r="D13" s="140">
        <v>2.19</v>
      </c>
      <c r="E13" s="140">
        <v>2.19</v>
      </c>
      <c r="F13" s="140">
        <f t="shared" si="0"/>
        <v>2.847</v>
      </c>
    </row>
    <row r="14" spans="1:6">
      <c r="A14">
        <v>4.03</v>
      </c>
      <c r="B14" t="s">
        <v>252</v>
      </c>
      <c r="C14">
        <v>24</v>
      </c>
      <c r="D14" s="140">
        <v>2.12</v>
      </c>
      <c r="E14" s="140">
        <v>50.88</v>
      </c>
      <c r="F14" s="140">
        <f t="shared" si="0"/>
        <v>66.144000000000005</v>
      </c>
    </row>
    <row r="15" spans="1:6">
      <c r="A15">
        <v>4.03</v>
      </c>
      <c r="B15" t="s">
        <v>447</v>
      </c>
      <c r="C15">
        <v>2</v>
      </c>
      <c r="D15" s="140">
        <v>8.7899999999999991</v>
      </c>
      <c r="E15" s="140">
        <v>17.579999999999998</v>
      </c>
      <c r="F15" s="140">
        <f t="shared" si="0"/>
        <v>22.853999999999999</v>
      </c>
    </row>
    <row r="16" spans="1:6">
      <c r="A16">
        <v>5.03</v>
      </c>
      <c r="B16" t="s">
        <v>392</v>
      </c>
      <c r="C16">
        <v>3</v>
      </c>
      <c r="D16" s="140">
        <v>3.99</v>
      </c>
      <c r="E16" s="140">
        <v>11.97</v>
      </c>
      <c r="F16" s="140">
        <f t="shared" si="0"/>
        <v>15.561000000000002</v>
      </c>
    </row>
    <row r="17" spans="1:6">
      <c r="A17">
        <v>5.03</v>
      </c>
      <c r="B17" t="s">
        <v>352</v>
      </c>
      <c r="C17">
        <v>1</v>
      </c>
      <c r="D17" s="140">
        <v>10.220000000000001</v>
      </c>
      <c r="E17" s="140">
        <v>10.220000000000001</v>
      </c>
      <c r="F17" s="140">
        <f t="shared" si="0"/>
        <v>13.286000000000001</v>
      </c>
    </row>
    <row r="18" spans="1:6">
      <c r="A18">
        <v>5.03</v>
      </c>
      <c r="B18" t="s">
        <v>450</v>
      </c>
      <c r="C18">
        <v>1</v>
      </c>
      <c r="D18" s="140">
        <v>2</v>
      </c>
      <c r="E18" s="140">
        <v>2</v>
      </c>
      <c r="F18" s="140">
        <f t="shared" si="0"/>
        <v>2.6</v>
      </c>
    </row>
    <row r="19" spans="1:6">
      <c r="A19">
        <v>5.03</v>
      </c>
      <c r="B19" t="s">
        <v>273</v>
      </c>
      <c r="C19">
        <v>3</v>
      </c>
      <c r="D19" s="140">
        <v>1.99</v>
      </c>
      <c r="E19" s="140">
        <v>5.97</v>
      </c>
      <c r="F19" s="140">
        <f t="shared" si="0"/>
        <v>7.7610000000000001</v>
      </c>
    </row>
    <row r="20" spans="1:6">
      <c r="A20">
        <v>9.0299999999999994</v>
      </c>
      <c r="B20" t="s">
        <v>392</v>
      </c>
      <c r="C20">
        <v>3</v>
      </c>
      <c r="D20" s="140">
        <v>3.99</v>
      </c>
      <c r="E20" s="140">
        <v>11.97</v>
      </c>
      <c r="F20" s="140">
        <f t="shared" si="0"/>
        <v>15.561000000000002</v>
      </c>
    </row>
    <row r="21" spans="1:6">
      <c r="A21">
        <v>9.0299999999999994</v>
      </c>
      <c r="B21" t="s">
        <v>273</v>
      </c>
      <c r="C21">
        <v>3</v>
      </c>
      <c r="D21" s="140">
        <v>1.99</v>
      </c>
      <c r="E21" s="140">
        <v>5.97</v>
      </c>
      <c r="F21" s="140">
        <f t="shared" si="0"/>
        <v>7.7610000000000001</v>
      </c>
    </row>
    <row r="22" spans="1:6">
      <c r="A22">
        <v>9.0299999999999994</v>
      </c>
      <c r="B22" t="s">
        <v>279</v>
      </c>
      <c r="C22">
        <v>1</v>
      </c>
      <c r="D22" s="140">
        <v>3.94</v>
      </c>
      <c r="E22" s="140">
        <v>3.94</v>
      </c>
      <c r="F22" s="140">
        <f t="shared" si="0"/>
        <v>5.1219999999999999</v>
      </c>
    </row>
    <row r="23" spans="1:6">
      <c r="A23">
        <v>9.0299999999999994</v>
      </c>
      <c r="B23" t="s">
        <v>449</v>
      </c>
      <c r="C23">
        <v>1</v>
      </c>
      <c r="D23" s="140">
        <v>3.12</v>
      </c>
      <c r="E23" s="140">
        <v>3.12</v>
      </c>
      <c r="F23" s="140">
        <f t="shared" si="0"/>
        <v>4.056</v>
      </c>
    </row>
    <row r="24" spans="1:6">
      <c r="A24">
        <v>9.0299999999999994</v>
      </c>
      <c r="B24" t="s">
        <v>371</v>
      </c>
      <c r="C24">
        <v>3</v>
      </c>
      <c r="D24" s="140">
        <v>2.19</v>
      </c>
      <c r="E24" s="140">
        <v>6.57</v>
      </c>
      <c r="F24" s="140">
        <f t="shared" si="0"/>
        <v>8.5410000000000004</v>
      </c>
    </row>
    <row r="25" spans="1:6">
      <c r="A25">
        <v>9.0299999999999994</v>
      </c>
      <c r="B25" t="s">
        <v>252</v>
      </c>
      <c r="C25">
        <v>24</v>
      </c>
      <c r="D25" s="140">
        <v>2.12</v>
      </c>
      <c r="E25" s="140">
        <v>50.88</v>
      </c>
      <c r="F25" s="140">
        <f t="shared" si="0"/>
        <v>66.144000000000005</v>
      </c>
    </row>
    <row r="26" spans="1:6">
      <c r="A26">
        <v>9.0299999999999994</v>
      </c>
      <c r="B26" t="s">
        <v>447</v>
      </c>
      <c r="C26">
        <v>2</v>
      </c>
      <c r="D26" s="140">
        <v>8.7899999999999991</v>
      </c>
      <c r="E26" s="140">
        <v>17.579999999999998</v>
      </c>
      <c r="F26" s="140">
        <f t="shared" si="0"/>
        <v>22.853999999999999</v>
      </c>
    </row>
    <row r="27" spans="1:6">
      <c r="A27">
        <v>9.0299999999999994</v>
      </c>
      <c r="B27" t="s">
        <v>272</v>
      </c>
      <c r="C27">
        <v>6</v>
      </c>
      <c r="D27" s="140">
        <v>1.62</v>
      </c>
      <c r="E27" s="140">
        <v>9.7200000000000006</v>
      </c>
      <c r="F27" s="140">
        <f t="shared" si="0"/>
        <v>12.636000000000001</v>
      </c>
    </row>
    <row r="28" spans="1:6">
      <c r="A28">
        <v>9.0299999999999994</v>
      </c>
      <c r="B28" t="s">
        <v>448</v>
      </c>
      <c r="C28">
        <v>6</v>
      </c>
      <c r="D28" s="140">
        <v>1.8</v>
      </c>
      <c r="E28" s="140">
        <v>10.8</v>
      </c>
      <c r="F28" s="140">
        <f t="shared" si="0"/>
        <v>14.040000000000001</v>
      </c>
    </row>
    <row r="29" spans="1:6">
      <c r="A29">
        <v>9.0299999999999994</v>
      </c>
      <c r="B29" t="s">
        <v>223</v>
      </c>
      <c r="C29">
        <v>1</v>
      </c>
      <c r="D29" s="140">
        <v>6.79</v>
      </c>
      <c r="E29" s="140">
        <v>6.79</v>
      </c>
      <c r="F29" s="140">
        <f t="shared" si="0"/>
        <v>8.827</v>
      </c>
    </row>
    <row r="30" spans="1:6">
      <c r="A30">
        <v>9.0299999999999994</v>
      </c>
      <c r="B30" t="s">
        <v>173</v>
      </c>
      <c r="C30">
        <v>370</v>
      </c>
      <c r="D30" s="140">
        <v>3.29</v>
      </c>
      <c r="E30" s="140">
        <v>3.29</v>
      </c>
      <c r="F30" s="140">
        <f t="shared" si="0"/>
        <v>4.2770000000000001</v>
      </c>
    </row>
    <row r="31" spans="1:6">
      <c r="A31">
        <v>9.0299999999999994</v>
      </c>
      <c r="B31" t="s">
        <v>451</v>
      </c>
      <c r="C31">
        <v>370</v>
      </c>
      <c r="D31" s="140">
        <v>3.29</v>
      </c>
      <c r="E31" s="140">
        <v>3.29</v>
      </c>
      <c r="F31" s="140">
        <f t="shared" si="0"/>
        <v>4.2770000000000001</v>
      </c>
    </row>
    <row r="32" spans="1:6">
      <c r="A32">
        <v>9.0299999999999994</v>
      </c>
      <c r="B32" t="s">
        <v>452</v>
      </c>
      <c r="C32">
        <v>4</v>
      </c>
      <c r="D32" s="140">
        <v>1.69</v>
      </c>
      <c r="E32" s="140">
        <v>6.76</v>
      </c>
      <c r="F32" s="140">
        <f t="shared" si="0"/>
        <v>8.7880000000000003</v>
      </c>
    </row>
    <row r="33" spans="1:6">
      <c r="A33">
        <v>9.0299999999999994</v>
      </c>
      <c r="B33" t="s">
        <v>453</v>
      </c>
      <c r="C33">
        <v>6</v>
      </c>
      <c r="D33" s="140">
        <v>1.19</v>
      </c>
      <c r="E33" s="140">
        <v>7.14</v>
      </c>
      <c r="F33" s="140">
        <f t="shared" si="0"/>
        <v>9.282</v>
      </c>
    </row>
    <row r="34" spans="1:6">
      <c r="A34">
        <v>9.0299999999999994</v>
      </c>
      <c r="B34" t="s">
        <v>454</v>
      </c>
      <c r="C34">
        <v>8</v>
      </c>
      <c r="D34" s="140">
        <v>0.9</v>
      </c>
      <c r="E34" s="140">
        <v>7.2</v>
      </c>
      <c r="F34" s="140">
        <f t="shared" si="0"/>
        <v>9.3600000000000012</v>
      </c>
    </row>
    <row r="35" spans="1:6">
      <c r="A35">
        <v>9.0299999999999994</v>
      </c>
      <c r="B35" t="s">
        <v>455</v>
      </c>
      <c r="C35">
        <v>6</v>
      </c>
      <c r="D35" s="140">
        <v>1.6</v>
      </c>
      <c r="E35" s="140">
        <v>9.6</v>
      </c>
      <c r="F35" s="140">
        <f t="shared" si="0"/>
        <v>12.48</v>
      </c>
    </row>
    <row r="36" spans="1:6">
      <c r="A36">
        <v>9.0299999999999994</v>
      </c>
      <c r="B36" t="s">
        <v>456</v>
      </c>
      <c r="C36">
        <v>10</v>
      </c>
      <c r="D36" s="140">
        <v>1.39</v>
      </c>
      <c r="E36" s="140">
        <v>13.9</v>
      </c>
      <c r="F36" s="140">
        <f t="shared" si="0"/>
        <v>18.07</v>
      </c>
    </row>
    <row r="37" spans="1:6">
      <c r="A37">
        <v>9.0299999999999994</v>
      </c>
      <c r="B37" t="s">
        <v>397</v>
      </c>
      <c r="C37">
        <v>1</v>
      </c>
      <c r="D37" s="140">
        <v>2.99</v>
      </c>
      <c r="E37" s="140">
        <v>2.99</v>
      </c>
      <c r="F37" s="140">
        <f t="shared" si="0"/>
        <v>3.8870000000000005</v>
      </c>
    </row>
    <row r="38" spans="1:6">
      <c r="A38">
        <v>9.0299999999999994</v>
      </c>
      <c r="B38" t="s">
        <v>457</v>
      </c>
      <c r="C38">
        <v>1</v>
      </c>
      <c r="D38" s="140">
        <v>8.5</v>
      </c>
      <c r="E38" s="140">
        <v>8.5</v>
      </c>
      <c r="F38" s="140">
        <f t="shared" si="0"/>
        <v>11.05</v>
      </c>
    </row>
    <row r="39" spans="1:6">
      <c r="A39">
        <v>9.0299999999999994</v>
      </c>
      <c r="B39" t="s">
        <v>458</v>
      </c>
      <c r="C39">
        <v>2</v>
      </c>
      <c r="D39" s="140">
        <v>2.65</v>
      </c>
      <c r="E39" s="140">
        <v>5.3</v>
      </c>
      <c r="F39" s="140">
        <f t="shared" si="0"/>
        <v>6.89</v>
      </c>
    </row>
    <row r="40" spans="1:6">
      <c r="A40">
        <v>9.0299999999999994</v>
      </c>
      <c r="B40" t="s">
        <v>459</v>
      </c>
      <c r="C40">
        <v>6</v>
      </c>
      <c r="D40" s="140">
        <v>0.7</v>
      </c>
      <c r="E40" s="140">
        <v>4.2</v>
      </c>
      <c r="F40" s="140">
        <f t="shared" si="0"/>
        <v>5.4600000000000009</v>
      </c>
    </row>
    <row r="41" spans="1:6">
      <c r="A41">
        <v>9.0299999999999994</v>
      </c>
      <c r="B41" t="s">
        <v>460</v>
      </c>
      <c r="C41">
        <v>6</v>
      </c>
      <c r="D41" s="140">
        <v>1</v>
      </c>
      <c r="E41" s="140">
        <v>6</v>
      </c>
      <c r="F41" s="140">
        <f t="shared" si="0"/>
        <v>7.8000000000000007</v>
      </c>
    </row>
    <row r="42" spans="1:6">
      <c r="A42">
        <v>9.0299999999999994</v>
      </c>
      <c r="B42" t="s">
        <v>461</v>
      </c>
      <c r="C42">
        <v>4</v>
      </c>
      <c r="D42" s="140">
        <v>1.67</v>
      </c>
      <c r="E42" s="140">
        <v>6.68</v>
      </c>
      <c r="F42" s="140">
        <f t="shared" si="0"/>
        <v>8.6839999999999993</v>
      </c>
    </row>
    <row r="43" spans="1:6">
      <c r="A43">
        <v>9.0299999999999994</v>
      </c>
      <c r="B43" t="s">
        <v>414</v>
      </c>
      <c r="C43">
        <v>1</v>
      </c>
      <c r="D43" s="140">
        <v>9.9</v>
      </c>
      <c r="E43" s="140">
        <v>9.9</v>
      </c>
      <c r="F43" s="140">
        <f t="shared" si="0"/>
        <v>12.870000000000001</v>
      </c>
    </row>
    <row r="44" spans="1:6">
      <c r="A44">
        <v>9.0299999999999994</v>
      </c>
      <c r="B44" t="s">
        <v>462</v>
      </c>
      <c r="C44">
        <v>1</v>
      </c>
      <c r="D44" s="140">
        <v>10</v>
      </c>
      <c r="E44" s="140">
        <v>10</v>
      </c>
      <c r="F44" s="140">
        <f t="shared" si="0"/>
        <v>13</v>
      </c>
    </row>
    <row r="45" spans="1:6">
      <c r="A45">
        <v>9.0299999999999994</v>
      </c>
      <c r="B45" t="s">
        <v>271</v>
      </c>
      <c r="C45">
        <v>1</v>
      </c>
      <c r="D45" s="140">
        <v>2.79</v>
      </c>
      <c r="E45" s="140">
        <v>2.79</v>
      </c>
      <c r="F45" s="140">
        <f t="shared" si="0"/>
        <v>3.6270000000000002</v>
      </c>
    </row>
    <row r="46" spans="1:6">
      <c r="A46">
        <v>9.0299999999999994</v>
      </c>
      <c r="B46" t="s">
        <v>308</v>
      </c>
      <c r="C46">
        <v>1</v>
      </c>
      <c r="D46" s="140">
        <v>7.49</v>
      </c>
      <c r="E46" s="140">
        <v>7.49</v>
      </c>
      <c r="F46" s="140">
        <f t="shared" si="0"/>
        <v>9.7370000000000001</v>
      </c>
    </row>
    <row r="47" spans="1:6">
      <c r="A47">
        <v>9.0299999999999994</v>
      </c>
      <c r="B47" t="s">
        <v>463</v>
      </c>
      <c r="C47">
        <v>2</v>
      </c>
      <c r="D47" s="140">
        <v>3.64</v>
      </c>
      <c r="E47" s="140">
        <v>7.28</v>
      </c>
      <c r="F47" s="140">
        <f t="shared" si="0"/>
        <v>9.4640000000000004</v>
      </c>
    </row>
    <row r="48" spans="1:6">
      <c r="A48">
        <v>9.0299999999999994</v>
      </c>
      <c r="B48" t="s">
        <v>310</v>
      </c>
      <c r="C48">
        <v>20</v>
      </c>
      <c r="D48" s="140">
        <v>0.6</v>
      </c>
      <c r="E48" s="140">
        <v>12</v>
      </c>
      <c r="F48" s="140">
        <f t="shared" si="0"/>
        <v>58</v>
      </c>
    </row>
    <row r="49" spans="1:6">
      <c r="A49">
        <v>10.029999999999999</v>
      </c>
      <c r="B49" t="s">
        <v>312</v>
      </c>
      <c r="C49">
        <v>25</v>
      </c>
      <c r="D49" s="140">
        <v>5.99</v>
      </c>
      <c r="E49" s="140">
        <v>4.99</v>
      </c>
      <c r="F49" s="140">
        <f t="shared" si="0"/>
        <v>6.4870000000000001</v>
      </c>
    </row>
    <row r="50" spans="1:6">
      <c r="A50">
        <v>10.029999999999999</v>
      </c>
      <c r="B50" t="s">
        <v>315</v>
      </c>
      <c r="C50">
        <v>25</v>
      </c>
      <c r="D50" s="140">
        <v>5.99</v>
      </c>
      <c r="E50" s="140">
        <v>5.99</v>
      </c>
      <c r="F50" s="140">
        <f t="shared" si="0"/>
        <v>7.7870000000000008</v>
      </c>
    </row>
    <row r="51" spans="1:6">
      <c r="A51">
        <v>10.029999999999999</v>
      </c>
      <c r="B51" t="s">
        <v>464</v>
      </c>
      <c r="C51">
        <v>25</v>
      </c>
      <c r="D51" s="140">
        <v>5.99</v>
      </c>
      <c r="E51" s="140">
        <v>5.99</v>
      </c>
      <c r="F51" s="140">
        <f t="shared" si="0"/>
        <v>7.7870000000000008</v>
      </c>
    </row>
    <row r="52" spans="1:6">
      <c r="A52">
        <v>10.029999999999999</v>
      </c>
      <c r="B52" t="s">
        <v>317</v>
      </c>
      <c r="C52">
        <v>25</v>
      </c>
      <c r="D52" s="140">
        <v>5.99</v>
      </c>
      <c r="E52" s="140">
        <v>5.99</v>
      </c>
      <c r="F52" s="140">
        <f t="shared" si="0"/>
        <v>7.7870000000000008</v>
      </c>
    </row>
    <row r="53" spans="1:6">
      <c r="A53">
        <v>10.029999999999999</v>
      </c>
      <c r="B53" t="s">
        <v>318</v>
      </c>
      <c r="C53">
        <v>25</v>
      </c>
      <c r="D53" s="140">
        <v>5.99</v>
      </c>
      <c r="E53" s="140">
        <v>5.99</v>
      </c>
      <c r="F53" s="140">
        <f t="shared" si="0"/>
        <v>7.7870000000000008</v>
      </c>
    </row>
    <row r="54" spans="1:6">
      <c r="A54">
        <v>10.029999999999999</v>
      </c>
      <c r="B54" t="s">
        <v>319</v>
      </c>
      <c r="C54">
        <v>12</v>
      </c>
      <c r="D54" s="140">
        <v>18.600000000000001</v>
      </c>
      <c r="E54" s="140">
        <v>18.600000000000001</v>
      </c>
      <c r="F54" s="140">
        <f t="shared" si="0"/>
        <v>24.180000000000003</v>
      </c>
    </row>
    <row r="55" spans="1:6">
      <c r="A55">
        <v>10.029999999999999</v>
      </c>
      <c r="B55" t="s">
        <v>465</v>
      </c>
      <c r="C55">
        <v>1</v>
      </c>
      <c r="D55" s="140">
        <v>4.99</v>
      </c>
      <c r="E55" s="140">
        <v>4.99</v>
      </c>
      <c r="F55" s="140">
        <f t="shared" si="0"/>
        <v>6.4870000000000001</v>
      </c>
    </row>
    <row r="56" spans="1:6">
      <c r="A56">
        <v>10.029999999999999</v>
      </c>
      <c r="B56" t="s">
        <v>326</v>
      </c>
      <c r="C56">
        <v>10</v>
      </c>
      <c r="D56" s="140">
        <v>16.899999999999999</v>
      </c>
      <c r="E56" s="140">
        <v>16.899999999999999</v>
      </c>
      <c r="F56" s="140">
        <f t="shared" si="0"/>
        <v>21.97</v>
      </c>
    </row>
    <row r="57" spans="1:6">
      <c r="A57">
        <v>11.03</v>
      </c>
      <c r="B57" t="s">
        <v>466</v>
      </c>
      <c r="C57">
        <v>4</v>
      </c>
      <c r="D57" s="140">
        <v>2.09</v>
      </c>
      <c r="E57" s="140">
        <v>2.09</v>
      </c>
      <c r="F57" s="140">
        <f t="shared" si="0"/>
        <v>2.7170000000000001</v>
      </c>
    </row>
    <row r="58" spans="1:6">
      <c r="A58">
        <v>11.03</v>
      </c>
      <c r="B58" t="s">
        <v>467</v>
      </c>
      <c r="C58">
        <v>4</v>
      </c>
      <c r="D58" s="140">
        <v>2.09</v>
      </c>
      <c r="E58" s="140">
        <v>2.09</v>
      </c>
      <c r="F58" s="140">
        <f t="shared" si="0"/>
        <v>2.7170000000000001</v>
      </c>
    </row>
    <row r="59" spans="1:6">
      <c r="A59">
        <v>11.03</v>
      </c>
      <c r="B59" t="s">
        <v>468</v>
      </c>
      <c r="C59">
        <v>4</v>
      </c>
      <c r="D59" s="140">
        <v>2.09</v>
      </c>
      <c r="E59" s="140">
        <v>2.09</v>
      </c>
      <c r="F59" s="140">
        <f t="shared" si="0"/>
        <v>2.7170000000000001</v>
      </c>
    </row>
    <row r="60" spans="1:6">
      <c r="A60">
        <v>11.03</v>
      </c>
      <c r="B60" t="s">
        <v>469</v>
      </c>
      <c r="C60">
        <v>4</v>
      </c>
      <c r="D60" s="140">
        <v>2.09</v>
      </c>
      <c r="E60" s="140">
        <v>2.09</v>
      </c>
      <c r="F60" s="140">
        <f t="shared" si="0"/>
        <v>2.7170000000000001</v>
      </c>
    </row>
    <row r="61" spans="1:6">
      <c r="A61">
        <v>11.03</v>
      </c>
      <c r="B61" t="s">
        <v>310</v>
      </c>
      <c r="C61">
        <v>20</v>
      </c>
      <c r="D61" s="140">
        <v>0.6</v>
      </c>
      <c r="E61" s="140">
        <v>12</v>
      </c>
      <c r="F61" s="140">
        <f t="shared" si="0"/>
        <v>58</v>
      </c>
    </row>
    <row r="62" spans="1:6">
      <c r="A62">
        <v>11.03</v>
      </c>
      <c r="B62" t="s">
        <v>273</v>
      </c>
      <c r="C62">
        <v>3</v>
      </c>
      <c r="D62" s="140">
        <v>2.5</v>
      </c>
      <c r="E62" s="140">
        <v>7.5</v>
      </c>
      <c r="F62" s="140">
        <f t="shared" si="0"/>
        <v>9.75</v>
      </c>
    </row>
    <row r="63" spans="1:6">
      <c r="A63">
        <v>11.03</v>
      </c>
      <c r="B63" t="s">
        <v>470</v>
      </c>
      <c r="C63">
        <v>10</v>
      </c>
      <c r="D63" s="140">
        <v>2</v>
      </c>
      <c r="E63" s="140">
        <v>20</v>
      </c>
      <c r="F63" s="140">
        <f t="shared" si="0"/>
        <v>26</v>
      </c>
    </row>
    <row r="64" spans="1:6">
      <c r="A64">
        <v>11.03</v>
      </c>
      <c r="B64" t="s">
        <v>471</v>
      </c>
      <c r="C64">
        <v>2</v>
      </c>
      <c r="D64" s="140">
        <v>2.79</v>
      </c>
      <c r="E64" s="140">
        <v>5.58</v>
      </c>
      <c r="F64" s="140">
        <f t="shared" si="0"/>
        <v>7.2540000000000004</v>
      </c>
    </row>
    <row r="65" spans="1:6">
      <c r="A65">
        <v>11.03</v>
      </c>
      <c r="B65" t="s">
        <v>472</v>
      </c>
      <c r="C65">
        <v>40</v>
      </c>
      <c r="D65" s="140">
        <v>2</v>
      </c>
      <c r="E65" s="140">
        <v>80</v>
      </c>
      <c r="F65" s="140">
        <f t="shared" si="0"/>
        <v>104</v>
      </c>
    </row>
    <row r="66" spans="1:6">
      <c r="A66">
        <v>11.03</v>
      </c>
      <c r="B66" t="s">
        <v>219</v>
      </c>
      <c r="C66">
        <v>2</v>
      </c>
      <c r="D66" s="140">
        <v>2.2999999999999998</v>
      </c>
      <c r="E66" s="140">
        <v>4.5999999999999996</v>
      </c>
      <c r="F66" s="140">
        <f t="shared" si="0"/>
        <v>5.8</v>
      </c>
    </row>
    <row r="67" spans="1:6">
      <c r="A67">
        <v>11.03</v>
      </c>
      <c r="B67" t="s">
        <v>380</v>
      </c>
      <c r="C67">
        <v>10</v>
      </c>
      <c r="D67" s="140">
        <v>1</v>
      </c>
      <c r="E67" s="140">
        <v>10</v>
      </c>
      <c r="F67" s="140">
        <f t="shared" ref="F67:F130" si="1">IF(OR(ISNUMBER(SEARCH("croissant",B67)),ISNUMBER(SEARCH("bretzel",B67)),ISNUMBER(SEARCH("bretzle",B67))),C67*2.9,E67*1.3)</f>
        <v>13</v>
      </c>
    </row>
    <row r="68" spans="1:6">
      <c r="A68">
        <v>11.03</v>
      </c>
      <c r="B68" t="s">
        <v>379</v>
      </c>
      <c r="C68">
        <v>10</v>
      </c>
      <c r="D68" s="140">
        <v>1</v>
      </c>
      <c r="E68" s="140">
        <v>10</v>
      </c>
      <c r="F68" s="140">
        <f t="shared" si="1"/>
        <v>13</v>
      </c>
    </row>
    <row r="69" spans="1:6">
      <c r="A69">
        <v>11.03</v>
      </c>
      <c r="B69" t="s">
        <v>356</v>
      </c>
      <c r="C69">
        <v>1</v>
      </c>
      <c r="D69" s="140">
        <v>3</v>
      </c>
      <c r="E69" s="140">
        <v>3</v>
      </c>
      <c r="F69" s="140">
        <f t="shared" si="1"/>
        <v>3.9000000000000004</v>
      </c>
    </row>
    <row r="70" spans="1:6">
      <c r="A70">
        <v>11.03</v>
      </c>
      <c r="B70" t="s">
        <v>473</v>
      </c>
      <c r="C70">
        <v>15</v>
      </c>
      <c r="D70" s="140">
        <v>1</v>
      </c>
      <c r="E70" s="140">
        <v>15</v>
      </c>
      <c r="F70" s="140">
        <f t="shared" si="1"/>
        <v>19.5</v>
      </c>
    </row>
    <row r="71" spans="1:6">
      <c r="A71">
        <v>11.03</v>
      </c>
      <c r="B71" t="s">
        <v>474</v>
      </c>
      <c r="C71">
        <v>30</v>
      </c>
      <c r="D71" s="140">
        <v>0.4</v>
      </c>
      <c r="E71" s="140">
        <v>12</v>
      </c>
      <c r="F71" s="140">
        <f t="shared" si="1"/>
        <v>15.600000000000001</v>
      </c>
    </row>
    <row r="72" spans="1:6">
      <c r="A72">
        <v>11.03</v>
      </c>
      <c r="B72" t="s">
        <v>475</v>
      </c>
      <c r="C72">
        <v>10</v>
      </c>
      <c r="D72" s="140">
        <v>1.2</v>
      </c>
      <c r="E72" s="140">
        <v>12</v>
      </c>
      <c r="F72" s="140">
        <f t="shared" si="1"/>
        <v>15.600000000000001</v>
      </c>
    </row>
    <row r="73" spans="1:6">
      <c r="A73">
        <v>11.03</v>
      </c>
      <c r="B73" t="s">
        <v>476</v>
      </c>
      <c r="C73">
        <v>2</v>
      </c>
      <c r="D73" s="140">
        <v>1.67</v>
      </c>
      <c r="E73" s="140">
        <v>3.34</v>
      </c>
      <c r="F73" s="140">
        <f t="shared" si="1"/>
        <v>4.3419999999999996</v>
      </c>
    </row>
    <row r="74" spans="1:6">
      <c r="A74">
        <v>11.03</v>
      </c>
      <c r="B74" t="s">
        <v>477</v>
      </c>
      <c r="C74">
        <v>1</v>
      </c>
      <c r="D74" s="140">
        <v>3</v>
      </c>
      <c r="E74" s="140">
        <v>3</v>
      </c>
      <c r="F74" s="140">
        <f t="shared" si="1"/>
        <v>3.9000000000000004</v>
      </c>
    </row>
    <row r="75" spans="1:6">
      <c r="A75">
        <v>11.03</v>
      </c>
      <c r="B75" t="s">
        <v>478</v>
      </c>
      <c r="C75">
        <v>1</v>
      </c>
      <c r="D75" s="140">
        <v>10.220000000000001</v>
      </c>
      <c r="E75" s="140">
        <v>10.220000000000001</v>
      </c>
      <c r="F75" s="140">
        <f t="shared" si="1"/>
        <v>13.286000000000001</v>
      </c>
    </row>
    <row r="76" spans="1:6">
      <c r="A76">
        <v>11.03</v>
      </c>
      <c r="B76" t="s">
        <v>252</v>
      </c>
      <c r="C76">
        <v>24</v>
      </c>
      <c r="D76" s="140">
        <v>2.12</v>
      </c>
      <c r="E76" s="140">
        <v>50.88</v>
      </c>
      <c r="F76" s="140">
        <f t="shared" si="1"/>
        <v>66.144000000000005</v>
      </c>
    </row>
    <row r="77" spans="1:6">
      <c r="A77">
        <v>11.03</v>
      </c>
      <c r="B77" t="s">
        <v>447</v>
      </c>
      <c r="C77">
        <v>1</v>
      </c>
      <c r="D77" s="140">
        <v>8.7899999999999991</v>
      </c>
      <c r="E77" s="140">
        <v>8.7899999999999991</v>
      </c>
      <c r="F77" s="140">
        <f t="shared" si="1"/>
        <v>11.427</v>
      </c>
    </row>
    <row r="78" spans="1:6">
      <c r="A78">
        <v>16.03</v>
      </c>
      <c r="B78" t="s">
        <v>349</v>
      </c>
      <c r="C78">
        <v>6</v>
      </c>
      <c r="D78" s="140">
        <v>1.67</v>
      </c>
      <c r="E78" s="140">
        <v>10.02</v>
      </c>
      <c r="F78" s="140">
        <f t="shared" si="1"/>
        <v>13.026</v>
      </c>
    </row>
    <row r="79" spans="1:6">
      <c r="A79">
        <v>16.03</v>
      </c>
      <c r="B79" t="s">
        <v>351</v>
      </c>
      <c r="C79">
        <v>1</v>
      </c>
      <c r="D79" s="140">
        <v>1.19</v>
      </c>
      <c r="E79" s="140">
        <v>1.19</v>
      </c>
      <c r="F79" s="140">
        <f t="shared" si="1"/>
        <v>1.5469999999999999</v>
      </c>
    </row>
    <row r="80" spans="1:6">
      <c r="A80">
        <v>16.03</v>
      </c>
      <c r="B80" t="s">
        <v>352</v>
      </c>
      <c r="C80">
        <v>2</v>
      </c>
      <c r="D80" s="140">
        <v>10.220000000000001</v>
      </c>
      <c r="E80" s="140">
        <v>20.440000000000001</v>
      </c>
      <c r="F80" s="140">
        <f t="shared" si="1"/>
        <v>26.572000000000003</v>
      </c>
    </row>
    <row r="81" spans="1:6">
      <c r="A81">
        <v>16.03</v>
      </c>
      <c r="B81" t="s">
        <v>353</v>
      </c>
      <c r="C81">
        <v>1</v>
      </c>
      <c r="D81" s="140">
        <v>9</v>
      </c>
      <c r="E81" s="140">
        <v>9</v>
      </c>
      <c r="F81" s="140">
        <f t="shared" si="1"/>
        <v>11.700000000000001</v>
      </c>
    </row>
    <row r="82" spans="1:6">
      <c r="A82">
        <v>16.03</v>
      </c>
      <c r="B82" t="s">
        <v>355</v>
      </c>
      <c r="C82">
        <v>2</v>
      </c>
      <c r="D82" s="140">
        <v>8.76</v>
      </c>
      <c r="E82" s="140">
        <v>17.52</v>
      </c>
      <c r="F82" s="140">
        <f t="shared" si="1"/>
        <v>22.776</v>
      </c>
    </row>
    <row r="83" spans="1:6">
      <c r="A83">
        <v>16.03</v>
      </c>
      <c r="B83" t="s">
        <v>356</v>
      </c>
      <c r="C83">
        <v>3</v>
      </c>
      <c r="D83" s="140">
        <v>4</v>
      </c>
      <c r="E83" s="140">
        <v>12</v>
      </c>
      <c r="F83" s="140">
        <f t="shared" si="1"/>
        <v>15.600000000000001</v>
      </c>
    </row>
    <row r="84" spans="1:6">
      <c r="A84">
        <v>16.03</v>
      </c>
      <c r="B84" t="s">
        <v>357</v>
      </c>
      <c r="C84">
        <v>6</v>
      </c>
      <c r="D84" s="140">
        <v>2.4500000000000002</v>
      </c>
      <c r="E84" s="140">
        <v>14.7</v>
      </c>
      <c r="F84" s="140">
        <f t="shared" si="1"/>
        <v>19.11</v>
      </c>
    </row>
    <row r="85" spans="1:6">
      <c r="A85">
        <v>16.03</v>
      </c>
      <c r="B85" t="s">
        <v>358</v>
      </c>
      <c r="C85">
        <v>1</v>
      </c>
      <c r="D85" s="140">
        <v>11.54</v>
      </c>
      <c r="E85" s="140">
        <v>11.54</v>
      </c>
      <c r="F85" s="140">
        <f t="shared" si="1"/>
        <v>15.001999999999999</v>
      </c>
    </row>
    <row r="86" spans="1:6">
      <c r="A86">
        <v>16.03</v>
      </c>
      <c r="B86" t="s">
        <v>359</v>
      </c>
      <c r="C86">
        <v>1</v>
      </c>
      <c r="D86" s="140">
        <v>9.8000000000000007</v>
      </c>
      <c r="E86" s="140">
        <v>9.8000000000000007</v>
      </c>
      <c r="F86" s="140">
        <f t="shared" si="1"/>
        <v>12.740000000000002</v>
      </c>
    </row>
    <row r="87" spans="1:6">
      <c r="A87">
        <v>16.03</v>
      </c>
      <c r="B87" t="s">
        <v>360</v>
      </c>
      <c r="C87">
        <v>1</v>
      </c>
      <c r="D87" s="140">
        <v>16.559999999999999</v>
      </c>
      <c r="E87" s="140">
        <v>16.559999999999999</v>
      </c>
      <c r="F87" s="140">
        <f t="shared" si="1"/>
        <v>21.527999999999999</v>
      </c>
    </row>
    <row r="88" spans="1:6">
      <c r="A88">
        <v>16.03</v>
      </c>
      <c r="B88" t="s">
        <v>362</v>
      </c>
      <c r="C88">
        <v>1</v>
      </c>
      <c r="D88" s="140">
        <v>14.44</v>
      </c>
      <c r="E88" s="140">
        <v>14.44</v>
      </c>
      <c r="F88" s="140">
        <f t="shared" si="1"/>
        <v>18.771999999999998</v>
      </c>
    </row>
    <row r="89" spans="1:6">
      <c r="A89">
        <v>16.03</v>
      </c>
      <c r="B89" t="s">
        <v>227</v>
      </c>
      <c r="C89">
        <v>1</v>
      </c>
      <c r="D89" s="140">
        <v>10.29</v>
      </c>
      <c r="E89" s="140">
        <v>10.29</v>
      </c>
      <c r="F89" s="140">
        <f t="shared" si="1"/>
        <v>13.376999999999999</v>
      </c>
    </row>
    <row r="90" spans="1:6">
      <c r="A90">
        <v>16.03</v>
      </c>
      <c r="B90" t="s">
        <v>479</v>
      </c>
      <c r="C90">
        <v>24</v>
      </c>
      <c r="D90" s="140">
        <v>1.59</v>
      </c>
      <c r="E90" s="140">
        <v>38.159999999999997</v>
      </c>
      <c r="F90" s="140">
        <f t="shared" si="1"/>
        <v>49.607999999999997</v>
      </c>
    </row>
    <row r="91" spans="1:6">
      <c r="A91">
        <v>16.03</v>
      </c>
      <c r="B91" t="s">
        <v>436</v>
      </c>
      <c r="C91">
        <v>24</v>
      </c>
      <c r="D91" s="140">
        <v>2.12</v>
      </c>
      <c r="E91" s="140">
        <v>50.88</v>
      </c>
      <c r="F91" s="140">
        <f t="shared" si="1"/>
        <v>66.144000000000005</v>
      </c>
    </row>
    <row r="92" spans="1:6">
      <c r="A92">
        <v>16.03</v>
      </c>
      <c r="B92" t="s">
        <v>464</v>
      </c>
      <c r="C92">
        <v>2</v>
      </c>
      <c r="D92" s="140">
        <v>5.99</v>
      </c>
      <c r="E92" s="140">
        <v>11.98</v>
      </c>
      <c r="F92" s="140">
        <f t="shared" si="1"/>
        <v>15.574000000000002</v>
      </c>
    </row>
    <row r="93" spans="1:6">
      <c r="A93">
        <v>16.03</v>
      </c>
      <c r="B93" t="s">
        <v>367</v>
      </c>
      <c r="C93">
        <v>8</v>
      </c>
      <c r="D93" s="140">
        <v>2.12</v>
      </c>
      <c r="E93" s="140">
        <v>16.96</v>
      </c>
      <c r="F93" s="140">
        <f t="shared" si="1"/>
        <v>22.048000000000002</v>
      </c>
    </row>
    <row r="94" spans="1:6">
      <c r="A94">
        <v>16.03</v>
      </c>
      <c r="B94" t="s">
        <v>271</v>
      </c>
      <c r="C94">
        <v>6</v>
      </c>
      <c r="D94" s="140">
        <v>8.24</v>
      </c>
      <c r="E94" s="140">
        <v>49.44</v>
      </c>
      <c r="F94" s="140">
        <f t="shared" si="1"/>
        <v>64.272000000000006</v>
      </c>
    </row>
    <row r="95" spans="1:6">
      <c r="A95">
        <v>16.03</v>
      </c>
      <c r="B95" t="s">
        <v>279</v>
      </c>
      <c r="C95">
        <v>2</v>
      </c>
      <c r="D95" s="140">
        <v>2.52</v>
      </c>
      <c r="E95" s="140">
        <v>5.04</v>
      </c>
      <c r="F95" s="140">
        <f t="shared" si="1"/>
        <v>6.5520000000000005</v>
      </c>
    </row>
    <row r="96" spans="1:6">
      <c r="A96">
        <v>16.03</v>
      </c>
      <c r="B96" t="s">
        <v>272</v>
      </c>
      <c r="C96">
        <v>4</v>
      </c>
      <c r="D96" s="140">
        <v>1.64</v>
      </c>
      <c r="E96" s="140">
        <v>6.56</v>
      </c>
      <c r="F96" s="140">
        <f t="shared" si="1"/>
        <v>8.5280000000000005</v>
      </c>
    </row>
    <row r="97" spans="1:6">
      <c r="A97">
        <v>16.03</v>
      </c>
      <c r="B97" t="s">
        <v>107</v>
      </c>
      <c r="C97">
        <v>1</v>
      </c>
      <c r="D97" s="140">
        <v>3.29</v>
      </c>
      <c r="E97" s="140">
        <v>3.29</v>
      </c>
      <c r="F97" s="140">
        <f t="shared" si="1"/>
        <v>4.2770000000000001</v>
      </c>
    </row>
    <row r="98" spans="1:6">
      <c r="A98">
        <v>16.03</v>
      </c>
      <c r="B98" t="s">
        <v>480</v>
      </c>
      <c r="C98">
        <v>2</v>
      </c>
      <c r="D98" s="140">
        <v>3.73</v>
      </c>
      <c r="E98" s="140">
        <v>7.46</v>
      </c>
      <c r="F98" s="140">
        <f t="shared" si="1"/>
        <v>9.6980000000000004</v>
      </c>
    </row>
    <row r="99" spans="1:6">
      <c r="A99">
        <v>16.03</v>
      </c>
      <c r="B99" t="s">
        <v>371</v>
      </c>
      <c r="C99">
        <v>1</v>
      </c>
      <c r="D99" s="140">
        <v>2.19</v>
      </c>
      <c r="E99" s="140">
        <v>2.19</v>
      </c>
      <c r="F99" s="140">
        <f t="shared" si="1"/>
        <v>2.847</v>
      </c>
    </row>
    <row r="100" spans="1:6">
      <c r="A100">
        <v>16.03</v>
      </c>
      <c r="B100" t="s">
        <v>273</v>
      </c>
      <c r="C100">
        <v>4</v>
      </c>
      <c r="D100" s="140">
        <v>2</v>
      </c>
      <c r="E100" s="140">
        <v>2.19</v>
      </c>
      <c r="F100" s="140">
        <f t="shared" si="1"/>
        <v>2.847</v>
      </c>
    </row>
    <row r="101" spans="1:6">
      <c r="A101">
        <v>16.03</v>
      </c>
      <c r="B101" t="s">
        <v>310</v>
      </c>
      <c r="C101">
        <v>15</v>
      </c>
      <c r="D101" s="140">
        <v>1</v>
      </c>
      <c r="E101" s="140">
        <v>2.19</v>
      </c>
      <c r="F101" s="140">
        <f t="shared" si="1"/>
        <v>43.5</v>
      </c>
    </row>
    <row r="102" spans="1:6">
      <c r="A102">
        <v>18.03</v>
      </c>
      <c r="B102" t="s">
        <v>373</v>
      </c>
      <c r="C102">
        <v>1</v>
      </c>
      <c r="D102" s="140">
        <v>17.440000000000001</v>
      </c>
      <c r="E102" s="140">
        <v>17.440000000000001</v>
      </c>
      <c r="F102" s="140">
        <f t="shared" si="1"/>
        <v>22.672000000000004</v>
      </c>
    </row>
    <row r="103" spans="1:6">
      <c r="A103">
        <v>18.03</v>
      </c>
      <c r="B103" t="s">
        <v>375</v>
      </c>
      <c r="C103">
        <v>10</v>
      </c>
      <c r="D103" s="140">
        <v>4.55</v>
      </c>
      <c r="E103" s="140">
        <v>45.5</v>
      </c>
      <c r="F103" s="140">
        <f t="shared" si="1"/>
        <v>59.15</v>
      </c>
    </row>
    <row r="104" spans="1:6">
      <c r="A104">
        <v>18.03</v>
      </c>
      <c r="B104" t="s">
        <v>352</v>
      </c>
      <c r="C104">
        <v>1</v>
      </c>
      <c r="D104" s="140">
        <v>7.94</v>
      </c>
      <c r="E104" s="140">
        <v>7.94</v>
      </c>
      <c r="F104" s="140">
        <f t="shared" si="1"/>
        <v>10.322000000000001</v>
      </c>
    </row>
    <row r="105" spans="1:6">
      <c r="A105">
        <v>18.03</v>
      </c>
      <c r="B105" t="s">
        <v>358</v>
      </c>
      <c r="C105">
        <v>1</v>
      </c>
      <c r="D105" s="140">
        <v>11.54</v>
      </c>
      <c r="E105" s="140">
        <v>11.54</v>
      </c>
      <c r="F105" s="140">
        <f t="shared" si="1"/>
        <v>15.001999999999999</v>
      </c>
    </row>
    <row r="106" spans="1:6">
      <c r="A106">
        <v>18.03</v>
      </c>
      <c r="B106" t="s">
        <v>481</v>
      </c>
      <c r="C106">
        <v>1</v>
      </c>
      <c r="D106" s="140">
        <v>8.76</v>
      </c>
      <c r="E106" s="140">
        <v>8.76</v>
      </c>
      <c r="F106" s="140">
        <f t="shared" si="1"/>
        <v>11.388</v>
      </c>
    </row>
    <row r="107" spans="1:6">
      <c r="A107">
        <v>18.03</v>
      </c>
      <c r="B107" t="s">
        <v>356</v>
      </c>
      <c r="C107">
        <v>3</v>
      </c>
      <c r="D107" s="140">
        <v>4</v>
      </c>
      <c r="E107" s="140">
        <v>12</v>
      </c>
      <c r="F107" s="140">
        <f t="shared" si="1"/>
        <v>15.600000000000001</v>
      </c>
    </row>
    <row r="108" spans="1:6">
      <c r="A108">
        <v>18.03</v>
      </c>
      <c r="B108" t="s">
        <v>379</v>
      </c>
      <c r="C108">
        <v>1</v>
      </c>
      <c r="D108" s="140">
        <v>17.440000000000001</v>
      </c>
      <c r="E108" s="140">
        <v>17.440000000000001</v>
      </c>
      <c r="F108" s="140">
        <f t="shared" si="1"/>
        <v>22.672000000000004</v>
      </c>
    </row>
    <row r="109" spans="1:6">
      <c r="A109">
        <v>18.03</v>
      </c>
      <c r="B109" t="s">
        <v>380</v>
      </c>
      <c r="C109">
        <v>6</v>
      </c>
      <c r="D109" s="140">
        <v>2.09</v>
      </c>
      <c r="E109" s="140">
        <v>12.54</v>
      </c>
      <c r="F109" s="140">
        <f t="shared" si="1"/>
        <v>16.302</v>
      </c>
    </row>
    <row r="110" spans="1:6">
      <c r="A110">
        <v>18.03</v>
      </c>
      <c r="B110" t="s">
        <v>381</v>
      </c>
      <c r="C110">
        <v>12</v>
      </c>
      <c r="D110" s="140">
        <v>1.24</v>
      </c>
      <c r="E110" s="140">
        <v>14.88</v>
      </c>
      <c r="F110" s="140">
        <f t="shared" si="1"/>
        <v>19.344000000000001</v>
      </c>
    </row>
    <row r="111" spans="1:6">
      <c r="A111">
        <v>18.03</v>
      </c>
      <c r="B111" t="s">
        <v>383</v>
      </c>
      <c r="C111">
        <v>1</v>
      </c>
      <c r="D111" s="140">
        <v>26.16</v>
      </c>
      <c r="E111" s="140">
        <v>26.16</v>
      </c>
      <c r="F111" s="140">
        <f t="shared" si="1"/>
        <v>34.008000000000003</v>
      </c>
    </row>
    <row r="112" spans="1:6">
      <c r="A112">
        <v>18.03</v>
      </c>
      <c r="B112" t="s">
        <v>482</v>
      </c>
      <c r="C112">
        <v>3</v>
      </c>
      <c r="D112" s="140">
        <v>4.4800000000000004</v>
      </c>
      <c r="E112" s="140">
        <v>13.44</v>
      </c>
      <c r="F112" s="140">
        <f t="shared" si="1"/>
        <v>17.472000000000001</v>
      </c>
    </row>
    <row r="113" spans="1:6">
      <c r="A113">
        <v>18.03</v>
      </c>
      <c r="B113" t="s">
        <v>227</v>
      </c>
      <c r="C113">
        <v>1</v>
      </c>
      <c r="D113" s="140">
        <v>10.29</v>
      </c>
      <c r="E113" s="140">
        <v>10.29</v>
      </c>
      <c r="F113" s="140">
        <f t="shared" si="1"/>
        <v>13.376999999999999</v>
      </c>
    </row>
    <row r="114" spans="1:6">
      <c r="A114">
        <v>18.03</v>
      </c>
      <c r="B114" t="s">
        <v>387</v>
      </c>
      <c r="C114">
        <v>1</v>
      </c>
      <c r="D114" s="140">
        <v>9.8000000000000007</v>
      </c>
      <c r="E114" s="140">
        <v>9.8000000000000007</v>
      </c>
      <c r="F114" s="140">
        <f t="shared" si="1"/>
        <v>12.740000000000002</v>
      </c>
    </row>
    <row r="115" spans="1:6">
      <c r="A115">
        <v>18.03</v>
      </c>
      <c r="B115" t="s">
        <v>483</v>
      </c>
      <c r="C115">
        <v>1</v>
      </c>
      <c r="D115" s="140">
        <v>20.99</v>
      </c>
      <c r="E115" s="140">
        <v>20.99</v>
      </c>
      <c r="F115" s="140">
        <f t="shared" si="1"/>
        <v>27.286999999999999</v>
      </c>
    </row>
    <row r="116" spans="1:6">
      <c r="A116">
        <v>18.03</v>
      </c>
      <c r="B116" t="s">
        <v>391</v>
      </c>
      <c r="C116">
        <v>1</v>
      </c>
      <c r="D116" s="140">
        <v>1.5</v>
      </c>
      <c r="E116" s="140">
        <v>1.5</v>
      </c>
      <c r="F116" s="140">
        <f t="shared" si="1"/>
        <v>1.9500000000000002</v>
      </c>
    </row>
    <row r="117" spans="1:6">
      <c r="A117">
        <v>18.03</v>
      </c>
      <c r="B117" t="s">
        <v>392</v>
      </c>
      <c r="C117">
        <v>1</v>
      </c>
      <c r="D117" s="140">
        <v>2.41</v>
      </c>
      <c r="E117" s="140">
        <v>2.41</v>
      </c>
      <c r="F117" s="140">
        <f t="shared" si="1"/>
        <v>3.1330000000000005</v>
      </c>
    </row>
    <row r="118" spans="1:6">
      <c r="A118">
        <v>18.03</v>
      </c>
      <c r="B118" t="s">
        <v>279</v>
      </c>
      <c r="C118">
        <v>1</v>
      </c>
      <c r="D118" s="140">
        <v>1.86</v>
      </c>
      <c r="E118" s="140">
        <v>1.86</v>
      </c>
      <c r="F118" s="140">
        <f t="shared" si="1"/>
        <v>2.4180000000000001</v>
      </c>
    </row>
    <row r="119" spans="1:6">
      <c r="A119">
        <v>18.03</v>
      </c>
      <c r="B119" t="s">
        <v>272</v>
      </c>
      <c r="C119">
        <v>4</v>
      </c>
      <c r="D119" s="140">
        <v>1.64</v>
      </c>
      <c r="E119" s="140">
        <v>6.56</v>
      </c>
      <c r="F119" s="140">
        <f t="shared" si="1"/>
        <v>8.5280000000000005</v>
      </c>
    </row>
    <row r="120" spans="1:6">
      <c r="A120">
        <v>18.03</v>
      </c>
      <c r="B120" t="s">
        <v>107</v>
      </c>
      <c r="C120">
        <v>1</v>
      </c>
      <c r="D120" s="140">
        <v>3.29</v>
      </c>
      <c r="E120" s="140">
        <v>3.29</v>
      </c>
      <c r="F120" s="140">
        <f t="shared" si="1"/>
        <v>4.2770000000000001</v>
      </c>
    </row>
    <row r="121" spans="1:6">
      <c r="A121">
        <v>18.03</v>
      </c>
      <c r="B121" t="s">
        <v>393</v>
      </c>
      <c r="C121">
        <v>2</v>
      </c>
      <c r="D121" s="140">
        <v>1.39</v>
      </c>
      <c r="E121" s="140">
        <v>2.78</v>
      </c>
      <c r="F121" s="140">
        <f t="shared" si="1"/>
        <v>3.6139999999999999</v>
      </c>
    </row>
    <row r="122" spans="1:6">
      <c r="A122">
        <v>18.03</v>
      </c>
      <c r="B122" t="s">
        <v>371</v>
      </c>
      <c r="C122">
        <v>4</v>
      </c>
      <c r="D122" s="140">
        <v>2.19</v>
      </c>
      <c r="E122" s="140">
        <v>8.76</v>
      </c>
      <c r="F122" s="140">
        <f t="shared" si="1"/>
        <v>11.388</v>
      </c>
    </row>
    <row r="123" spans="1:6">
      <c r="A123">
        <v>18.03</v>
      </c>
      <c r="B123" t="s">
        <v>273</v>
      </c>
      <c r="C123">
        <v>4</v>
      </c>
      <c r="D123" s="140">
        <v>2</v>
      </c>
      <c r="E123" s="140">
        <v>8</v>
      </c>
      <c r="F123" s="140">
        <f t="shared" si="1"/>
        <v>10.4</v>
      </c>
    </row>
    <row r="124" spans="1:6">
      <c r="A124">
        <v>18.03</v>
      </c>
      <c r="B124" t="s">
        <v>394</v>
      </c>
      <c r="C124">
        <v>1</v>
      </c>
      <c r="D124" s="140">
        <v>13.89</v>
      </c>
      <c r="E124" s="140">
        <v>13.89</v>
      </c>
      <c r="F124" s="140">
        <f>C124*13*2.5</f>
        <v>32.5</v>
      </c>
    </row>
    <row r="125" spans="1:6">
      <c r="A125">
        <v>23.03</v>
      </c>
      <c r="B125" t="s">
        <v>395</v>
      </c>
      <c r="C125">
        <v>1</v>
      </c>
      <c r="D125" s="140">
        <v>17.440000000000001</v>
      </c>
      <c r="E125" s="140">
        <v>17.440000000000001</v>
      </c>
      <c r="F125" s="140">
        <f t="shared" si="1"/>
        <v>22.672000000000004</v>
      </c>
    </row>
    <row r="126" spans="1:6">
      <c r="A126">
        <v>23.03</v>
      </c>
      <c r="B126" t="s">
        <v>397</v>
      </c>
      <c r="C126">
        <v>2</v>
      </c>
      <c r="D126" s="140">
        <v>2.99</v>
      </c>
      <c r="E126" s="140">
        <v>5.98</v>
      </c>
      <c r="F126" s="140">
        <f t="shared" si="1"/>
        <v>7.7740000000000009</v>
      </c>
    </row>
    <row r="127" spans="1:6">
      <c r="A127">
        <v>23.03</v>
      </c>
      <c r="B127" t="s">
        <v>352</v>
      </c>
      <c r="C127">
        <v>1</v>
      </c>
      <c r="D127" s="140">
        <v>7.94</v>
      </c>
      <c r="E127" s="140">
        <v>7.94</v>
      </c>
      <c r="F127" s="140">
        <f t="shared" si="1"/>
        <v>10.322000000000001</v>
      </c>
    </row>
    <row r="128" spans="1:6">
      <c r="A128">
        <v>23.03</v>
      </c>
      <c r="B128" t="s">
        <v>398</v>
      </c>
      <c r="C128">
        <v>1</v>
      </c>
      <c r="D128" s="140">
        <v>11.54</v>
      </c>
      <c r="E128" s="140">
        <v>11.54</v>
      </c>
      <c r="F128" s="140">
        <f t="shared" si="1"/>
        <v>15.001999999999999</v>
      </c>
    </row>
    <row r="129" spans="1:6">
      <c r="A129">
        <v>23.03</v>
      </c>
      <c r="B129" t="s">
        <v>399</v>
      </c>
      <c r="C129">
        <v>20</v>
      </c>
      <c r="D129" s="140">
        <v>0.65</v>
      </c>
      <c r="E129" s="140">
        <v>13</v>
      </c>
      <c r="F129" s="140">
        <f t="shared" si="1"/>
        <v>16.900000000000002</v>
      </c>
    </row>
    <row r="130" spans="1:6">
      <c r="A130">
        <v>23.03</v>
      </c>
      <c r="B130" t="s">
        <v>383</v>
      </c>
      <c r="C130">
        <v>1</v>
      </c>
      <c r="D130" s="140">
        <v>24</v>
      </c>
      <c r="E130" s="140">
        <v>24</v>
      </c>
      <c r="F130" s="140">
        <f t="shared" si="1"/>
        <v>31.200000000000003</v>
      </c>
    </row>
    <row r="131" spans="1:6">
      <c r="A131">
        <v>23.03</v>
      </c>
      <c r="B131" t="s">
        <v>379</v>
      </c>
      <c r="C131">
        <v>1</v>
      </c>
      <c r="D131" s="140">
        <v>17.440000000000001</v>
      </c>
      <c r="E131" s="140">
        <v>17.440000000000001</v>
      </c>
      <c r="F131" s="140">
        <f t="shared" ref="F131:F194" si="2">IF(OR(ISNUMBER(SEARCH("croissant",B131)),ISNUMBER(SEARCH("bretzel",B131)),ISNUMBER(SEARCH("bretzle",B131))),C131*2.9,E131*1.3)</f>
        <v>22.672000000000004</v>
      </c>
    </row>
    <row r="132" spans="1:6">
      <c r="A132">
        <v>23.03</v>
      </c>
      <c r="B132" t="s">
        <v>400</v>
      </c>
      <c r="C132">
        <v>7</v>
      </c>
      <c r="D132" s="140">
        <v>1.73</v>
      </c>
      <c r="E132" s="140">
        <v>12.11</v>
      </c>
      <c r="F132" s="140">
        <f t="shared" si="2"/>
        <v>15.743</v>
      </c>
    </row>
    <row r="133" spans="1:6">
      <c r="A133">
        <v>23.03</v>
      </c>
      <c r="B133" t="s">
        <v>401</v>
      </c>
      <c r="C133">
        <v>10</v>
      </c>
      <c r="D133" s="140">
        <v>0.8</v>
      </c>
      <c r="E133" s="140">
        <v>8</v>
      </c>
      <c r="F133" s="140">
        <f t="shared" si="2"/>
        <v>10.4</v>
      </c>
    </row>
    <row r="134" spans="1:6">
      <c r="A134">
        <v>23.03</v>
      </c>
      <c r="B134" t="s">
        <v>436</v>
      </c>
      <c r="C134">
        <v>12</v>
      </c>
      <c r="D134" s="140">
        <v>2.12</v>
      </c>
      <c r="E134" s="140">
        <v>25.44</v>
      </c>
      <c r="F134" s="140">
        <f t="shared" si="2"/>
        <v>33.072000000000003</v>
      </c>
    </row>
    <row r="135" spans="1:6">
      <c r="A135">
        <v>23.03</v>
      </c>
      <c r="B135" t="s">
        <v>482</v>
      </c>
      <c r="C135">
        <v>2</v>
      </c>
      <c r="D135" s="140">
        <v>4.4800000000000004</v>
      </c>
      <c r="E135" s="140">
        <v>8.9600000000000009</v>
      </c>
      <c r="F135" s="140">
        <f t="shared" si="2"/>
        <v>11.648000000000001</v>
      </c>
    </row>
    <row r="136" spans="1:6">
      <c r="A136">
        <v>23.03</v>
      </c>
      <c r="B136" t="s">
        <v>227</v>
      </c>
      <c r="C136">
        <v>1</v>
      </c>
      <c r="D136" s="140">
        <v>8.7899999999999991</v>
      </c>
      <c r="E136" s="140">
        <v>8.7899999999999991</v>
      </c>
      <c r="F136" s="140">
        <f t="shared" si="2"/>
        <v>11.427</v>
      </c>
    </row>
    <row r="137" spans="1:6">
      <c r="A137">
        <v>23.03</v>
      </c>
      <c r="B137" t="s">
        <v>403</v>
      </c>
      <c r="C137">
        <v>6</v>
      </c>
      <c r="D137" s="140">
        <v>1.59</v>
      </c>
      <c r="E137" s="140">
        <v>9.5399999999999991</v>
      </c>
      <c r="F137" s="140">
        <f t="shared" si="2"/>
        <v>12.401999999999999</v>
      </c>
    </row>
    <row r="138" spans="1:6">
      <c r="A138">
        <v>23.03</v>
      </c>
      <c r="B138" t="s">
        <v>404</v>
      </c>
      <c r="C138">
        <v>6</v>
      </c>
      <c r="D138" s="140">
        <v>1.99</v>
      </c>
      <c r="E138" s="140">
        <v>11.94</v>
      </c>
      <c r="F138" s="140">
        <f t="shared" si="2"/>
        <v>15.522</v>
      </c>
    </row>
    <row r="139" spans="1:6">
      <c r="A139">
        <v>23.03</v>
      </c>
      <c r="B139" t="s">
        <v>405</v>
      </c>
      <c r="C139">
        <v>3</v>
      </c>
      <c r="D139" s="140">
        <v>3.29</v>
      </c>
      <c r="E139" s="140">
        <v>9.8699999999999992</v>
      </c>
      <c r="F139" s="140">
        <f t="shared" si="2"/>
        <v>12.831</v>
      </c>
    </row>
    <row r="140" spans="1:6">
      <c r="A140">
        <v>23.03</v>
      </c>
      <c r="B140" t="s">
        <v>407</v>
      </c>
      <c r="C140">
        <v>3</v>
      </c>
      <c r="D140" s="140">
        <v>2.4700000000000002</v>
      </c>
      <c r="E140" s="140">
        <v>7.41</v>
      </c>
      <c r="F140" s="140">
        <f t="shared" si="2"/>
        <v>9.6330000000000009</v>
      </c>
    </row>
    <row r="141" spans="1:6">
      <c r="A141">
        <v>23.03</v>
      </c>
      <c r="B141" t="s">
        <v>279</v>
      </c>
      <c r="C141">
        <v>4</v>
      </c>
      <c r="D141" s="140">
        <v>1.86</v>
      </c>
      <c r="E141" s="140">
        <v>7.44</v>
      </c>
      <c r="F141" s="140">
        <f t="shared" si="2"/>
        <v>9.6720000000000006</v>
      </c>
    </row>
    <row r="142" spans="1:6">
      <c r="A142">
        <v>23.03</v>
      </c>
      <c r="B142" t="s">
        <v>272</v>
      </c>
      <c r="C142">
        <v>4</v>
      </c>
      <c r="D142" s="140">
        <v>1.64</v>
      </c>
      <c r="E142" s="140">
        <v>6.56</v>
      </c>
      <c r="F142" s="140">
        <f t="shared" si="2"/>
        <v>8.5280000000000005</v>
      </c>
    </row>
    <row r="143" spans="1:6">
      <c r="A143">
        <v>23.03</v>
      </c>
      <c r="B143" t="s">
        <v>107</v>
      </c>
      <c r="C143">
        <v>2</v>
      </c>
      <c r="D143" s="140">
        <v>3.29</v>
      </c>
      <c r="E143" s="140">
        <v>6.58</v>
      </c>
      <c r="F143" s="140">
        <f t="shared" si="2"/>
        <v>8.5540000000000003</v>
      </c>
    </row>
    <row r="144" spans="1:6">
      <c r="A144">
        <v>23.03</v>
      </c>
      <c r="B144" t="s">
        <v>271</v>
      </c>
      <c r="C144">
        <v>1</v>
      </c>
      <c r="D144" s="140">
        <v>8.24</v>
      </c>
      <c r="E144" s="140">
        <v>8.24</v>
      </c>
      <c r="F144" s="140">
        <f t="shared" si="2"/>
        <v>10.712000000000002</v>
      </c>
    </row>
    <row r="145" spans="1:6">
      <c r="A145">
        <v>23.03</v>
      </c>
      <c r="B145" t="s">
        <v>371</v>
      </c>
      <c r="C145">
        <v>2</v>
      </c>
      <c r="D145" s="140">
        <v>2.19</v>
      </c>
      <c r="E145" s="140">
        <v>4.38</v>
      </c>
      <c r="F145" s="140">
        <f t="shared" si="2"/>
        <v>5.694</v>
      </c>
    </row>
    <row r="146" spans="1:6">
      <c r="A146">
        <v>23.03</v>
      </c>
      <c r="B146" t="s">
        <v>273</v>
      </c>
      <c r="C146">
        <v>4</v>
      </c>
      <c r="D146" s="140">
        <v>2</v>
      </c>
      <c r="E146" s="140">
        <v>8</v>
      </c>
      <c r="F146" s="140">
        <f t="shared" si="2"/>
        <v>10.4</v>
      </c>
    </row>
    <row r="147" spans="1:6">
      <c r="A147">
        <v>23.03</v>
      </c>
      <c r="B147" t="s">
        <v>394</v>
      </c>
      <c r="C147">
        <v>1</v>
      </c>
      <c r="D147" s="140">
        <v>13.89</v>
      </c>
      <c r="E147" s="140">
        <v>13.89</v>
      </c>
      <c r="F147" s="140">
        <f>C147*13*2.5</f>
        <v>32.5</v>
      </c>
    </row>
    <row r="148" spans="1:6">
      <c r="A148">
        <v>23.03</v>
      </c>
      <c r="B148" t="s">
        <v>409</v>
      </c>
      <c r="C148">
        <v>1</v>
      </c>
      <c r="D148" s="140">
        <v>1.97</v>
      </c>
      <c r="E148" s="140">
        <v>1.97</v>
      </c>
      <c r="F148" s="140">
        <f t="shared" si="2"/>
        <v>2.5609999999999999</v>
      </c>
    </row>
    <row r="149" spans="1:6">
      <c r="A149">
        <v>23.03</v>
      </c>
      <c r="B149" t="s">
        <v>411</v>
      </c>
      <c r="C149">
        <v>3</v>
      </c>
      <c r="D149" s="140">
        <v>1.26</v>
      </c>
      <c r="E149" s="140">
        <v>3.78</v>
      </c>
      <c r="F149" s="140">
        <f t="shared" si="2"/>
        <v>4.9139999999999997</v>
      </c>
    </row>
    <row r="150" spans="1:6">
      <c r="A150">
        <v>23.03</v>
      </c>
      <c r="B150" t="s">
        <v>413</v>
      </c>
      <c r="C150">
        <v>6</v>
      </c>
      <c r="D150" s="140">
        <v>1.67</v>
      </c>
      <c r="E150" s="140">
        <v>10.02</v>
      </c>
      <c r="F150" s="140">
        <f t="shared" si="2"/>
        <v>13.026</v>
      </c>
    </row>
    <row r="151" spans="1:6">
      <c r="A151">
        <v>25.03</v>
      </c>
      <c r="B151" t="s">
        <v>397</v>
      </c>
      <c r="C151">
        <v>1</v>
      </c>
      <c r="D151" s="140">
        <v>2.99</v>
      </c>
      <c r="E151" s="140">
        <v>2.99</v>
      </c>
      <c r="F151" s="140">
        <f t="shared" si="2"/>
        <v>3.8870000000000005</v>
      </c>
    </row>
    <row r="152" spans="1:6">
      <c r="A152">
        <v>25.03</v>
      </c>
      <c r="B152" t="s">
        <v>353</v>
      </c>
      <c r="C152">
        <v>1</v>
      </c>
      <c r="D152" s="140">
        <v>7.49</v>
      </c>
      <c r="E152" s="140">
        <v>7.49</v>
      </c>
      <c r="F152" s="140">
        <f t="shared" si="2"/>
        <v>9.7370000000000001</v>
      </c>
    </row>
    <row r="153" spans="1:6">
      <c r="A153">
        <v>25.03</v>
      </c>
      <c r="B153" t="s">
        <v>414</v>
      </c>
      <c r="C153">
        <v>1</v>
      </c>
      <c r="D153" s="140">
        <v>12.47</v>
      </c>
      <c r="E153" s="140">
        <v>12.47</v>
      </c>
      <c r="F153" s="140">
        <f t="shared" si="2"/>
        <v>16.211000000000002</v>
      </c>
    </row>
    <row r="154" spans="1:6">
      <c r="A154">
        <v>25.03</v>
      </c>
      <c r="B154" t="s">
        <v>383</v>
      </c>
      <c r="C154">
        <v>1</v>
      </c>
      <c r="D154" s="140">
        <v>24</v>
      </c>
      <c r="E154" s="140">
        <v>24</v>
      </c>
      <c r="F154" s="140">
        <f t="shared" si="2"/>
        <v>31.200000000000003</v>
      </c>
    </row>
    <row r="155" spans="1:6">
      <c r="A155">
        <v>25.03</v>
      </c>
      <c r="B155" t="s">
        <v>484</v>
      </c>
      <c r="C155">
        <v>10</v>
      </c>
      <c r="D155" s="140">
        <v>2.12</v>
      </c>
      <c r="E155" s="140">
        <v>21.2</v>
      </c>
      <c r="F155" s="140">
        <f t="shared" si="2"/>
        <v>27.56</v>
      </c>
    </row>
    <row r="156" spans="1:6">
      <c r="A156">
        <v>25.03</v>
      </c>
      <c r="B156" t="s">
        <v>418</v>
      </c>
      <c r="C156">
        <v>1</v>
      </c>
      <c r="D156" s="140">
        <v>11.77</v>
      </c>
      <c r="E156" s="140">
        <v>11.77</v>
      </c>
      <c r="F156" s="140">
        <f t="shared" si="2"/>
        <v>15.301</v>
      </c>
    </row>
    <row r="157" spans="1:6">
      <c r="A157">
        <v>25.03</v>
      </c>
      <c r="B157" t="s">
        <v>227</v>
      </c>
      <c r="C157">
        <v>2</v>
      </c>
      <c r="D157" s="140">
        <v>8.7899999999999991</v>
      </c>
      <c r="E157" s="140">
        <v>17.579999999999998</v>
      </c>
      <c r="F157" s="140">
        <f t="shared" si="2"/>
        <v>22.853999999999999</v>
      </c>
    </row>
    <row r="158" spans="1:6">
      <c r="A158">
        <v>25.03</v>
      </c>
      <c r="B158" t="s">
        <v>420</v>
      </c>
      <c r="C158">
        <v>1</v>
      </c>
      <c r="D158" s="140">
        <v>0.65</v>
      </c>
      <c r="E158" s="140">
        <v>0.65</v>
      </c>
      <c r="F158" s="140">
        <f t="shared" si="2"/>
        <v>0.84500000000000008</v>
      </c>
    </row>
    <row r="159" spans="1:6">
      <c r="A159">
        <v>25.03</v>
      </c>
      <c r="B159" t="s">
        <v>404</v>
      </c>
      <c r="C159">
        <v>6</v>
      </c>
      <c r="D159" s="140">
        <v>1.99</v>
      </c>
      <c r="E159" s="140">
        <v>11.94</v>
      </c>
      <c r="F159" s="140">
        <f t="shared" si="2"/>
        <v>15.522</v>
      </c>
    </row>
    <row r="160" spans="1:6">
      <c r="A160">
        <v>25.03</v>
      </c>
      <c r="B160" t="s">
        <v>405</v>
      </c>
      <c r="C160">
        <v>1</v>
      </c>
      <c r="D160" s="140">
        <v>3.29</v>
      </c>
      <c r="E160" s="140">
        <v>3.29</v>
      </c>
      <c r="F160" s="140">
        <f t="shared" si="2"/>
        <v>4.2770000000000001</v>
      </c>
    </row>
    <row r="161" spans="1:6">
      <c r="A161">
        <v>25.03</v>
      </c>
      <c r="B161" t="s">
        <v>279</v>
      </c>
      <c r="C161">
        <v>4</v>
      </c>
      <c r="D161" s="140">
        <v>1.97</v>
      </c>
      <c r="E161" s="140">
        <v>7.88</v>
      </c>
      <c r="F161" s="140">
        <f t="shared" si="2"/>
        <v>10.244</v>
      </c>
    </row>
    <row r="162" spans="1:6">
      <c r="A162">
        <v>25.03</v>
      </c>
      <c r="B162" t="s">
        <v>485</v>
      </c>
      <c r="C162">
        <v>1</v>
      </c>
      <c r="D162" s="140">
        <v>7.39</v>
      </c>
      <c r="E162" s="140">
        <v>7.39</v>
      </c>
      <c r="F162" s="140">
        <f t="shared" si="2"/>
        <v>9.6069999999999993</v>
      </c>
    </row>
    <row r="163" spans="1:6">
      <c r="A163">
        <v>25.03</v>
      </c>
      <c r="B163" t="s">
        <v>409</v>
      </c>
      <c r="C163">
        <v>1</v>
      </c>
      <c r="D163" s="140">
        <v>1.97</v>
      </c>
      <c r="E163" s="140">
        <v>1.97</v>
      </c>
      <c r="F163" s="140">
        <f t="shared" si="2"/>
        <v>2.5609999999999999</v>
      </c>
    </row>
    <row r="164" spans="1:6">
      <c r="A164">
        <v>25.03</v>
      </c>
      <c r="B164" t="s">
        <v>271</v>
      </c>
      <c r="C164">
        <v>1</v>
      </c>
      <c r="D164" s="140">
        <v>8.24</v>
      </c>
      <c r="E164" s="140">
        <v>8.24</v>
      </c>
      <c r="F164" s="140">
        <f t="shared" si="2"/>
        <v>10.712000000000002</v>
      </c>
    </row>
    <row r="165" spans="1:6">
      <c r="A165">
        <v>25.03</v>
      </c>
      <c r="B165" t="s">
        <v>371</v>
      </c>
      <c r="C165">
        <v>2</v>
      </c>
      <c r="D165" s="140">
        <v>2.19</v>
      </c>
      <c r="E165" s="140">
        <v>4.38</v>
      </c>
      <c r="F165" s="140">
        <f t="shared" si="2"/>
        <v>5.694</v>
      </c>
    </row>
    <row r="166" spans="1:6">
      <c r="A166">
        <v>25.03</v>
      </c>
      <c r="B166" t="s">
        <v>273</v>
      </c>
      <c r="C166">
        <v>4</v>
      </c>
      <c r="D166" s="140">
        <v>2</v>
      </c>
      <c r="E166" s="140">
        <v>8</v>
      </c>
      <c r="F166" s="140">
        <f t="shared" si="2"/>
        <v>10.4</v>
      </c>
    </row>
    <row r="167" spans="1:6">
      <c r="A167">
        <v>25.03</v>
      </c>
      <c r="B167" t="s">
        <v>409</v>
      </c>
      <c r="C167">
        <v>1</v>
      </c>
      <c r="D167" s="140">
        <v>1.97</v>
      </c>
      <c r="E167" s="140">
        <v>1.97</v>
      </c>
      <c r="F167" s="140">
        <f t="shared" si="2"/>
        <v>2.5609999999999999</v>
      </c>
    </row>
    <row r="168" spans="1:6">
      <c r="A168">
        <v>30.03</v>
      </c>
      <c r="B168" t="s">
        <v>486</v>
      </c>
      <c r="C168">
        <v>40</v>
      </c>
      <c r="D168" s="140">
        <v>0.36</v>
      </c>
      <c r="E168" s="140">
        <v>14.4</v>
      </c>
      <c r="F168" s="140">
        <f t="shared" si="2"/>
        <v>18.720000000000002</v>
      </c>
    </row>
    <row r="169" spans="1:6">
      <c r="A169">
        <v>30.03</v>
      </c>
      <c r="B169" t="s">
        <v>487</v>
      </c>
      <c r="C169">
        <v>4</v>
      </c>
      <c r="D169" s="140">
        <v>1.29</v>
      </c>
      <c r="E169" s="140">
        <v>5.16</v>
      </c>
      <c r="F169" s="140">
        <f t="shared" si="2"/>
        <v>6.7080000000000002</v>
      </c>
    </row>
    <row r="170" spans="1:6">
      <c r="A170">
        <v>30.03</v>
      </c>
      <c r="B170" t="s">
        <v>352</v>
      </c>
      <c r="C170">
        <v>1</v>
      </c>
      <c r="D170" s="140">
        <v>10.220000000000001</v>
      </c>
      <c r="E170" s="140">
        <v>10.220000000000001</v>
      </c>
      <c r="F170" s="140">
        <f t="shared" si="2"/>
        <v>13.286000000000001</v>
      </c>
    </row>
    <row r="171" spans="1:6">
      <c r="A171">
        <v>30.03</v>
      </c>
      <c r="B171" t="s">
        <v>488</v>
      </c>
      <c r="C171">
        <v>1</v>
      </c>
      <c r="D171" s="140">
        <v>11.54</v>
      </c>
      <c r="E171" s="140">
        <v>11.54</v>
      </c>
      <c r="F171" s="140">
        <f t="shared" si="2"/>
        <v>15.001999999999999</v>
      </c>
    </row>
    <row r="172" spans="1:6">
      <c r="A172">
        <v>30.03</v>
      </c>
      <c r="B172" t="s">
        <v>489</v>
      </c>
      <c r="C172">
        <v>3</v>
      </c>
      <c r="D172" s="140">
        <v>7.33</v>
      </c>
      <c r="E172" s="140">
        <v>21.99</v>
      </c>
      <c r="F172" s="140">
        <f t="shared" si="2"/>
        <v>28.587</v>
      </c>
    </row>
    <row r="173" spans="1:6">
      <c r="A173">
        <v>30.03</v>
      </c>
      <c r="B173" t="s">
        <v>428</v>
      </c>
      <c r="C173">
        <v>1</v>
      </c>
      <c r="D173" s="140">
        <v>3.29</v>
      </c>
      <c r="E173" s="140">
        <v>3.29</v>
      </c>
      <c r="F173" s="140">
        <f t="shared" si="2"/>
        <v>4.2770000000000001</v>
      </c>
    </row>
    <row r="174" spans="1:6">
      <c r="A174">
        <v>30.03</v>
      </c>
      <c r="B174" t="s">
        <v>490</v>
      </c>
      <c r="C174">
        <v>4</v>
      </c>
      <c r="D174" s="140">
        <v>1.49</v>
      </c>
      <c r="E174" s="140">
        <v>5.96</v>
      </c>
      <c r="F174" s="140">
        <f t="shared" si="2"/>
        <v>7.7480000000000002</v>
      </c>
    </row>
    <row r="175" spans="1:6">
      <c r="A175">
        <v>30.03</v>
      </c>
      <c r="B175" t="s">
        <v>491</v>
      </c>
      <c r="C175">
        <v>4</v>
      </c>
      <c r="D175" s="140">
        <v>1.49</v>
      </c>
      <c r="E175" s="140">
        <v>5.96</v>
      </c>
      <c r="F175" s="140">
        <f t="shared" si="2"/>
        <v>7.7480000000000002</v>
      </c>
    </row>
    <row r="176" spans="1:6">
      <c r="A176">
        <v>30.03</v>
      </c>
      <c r="B176" t="s">
        <v>492</v>
      </c>
      <c r="C176">
        <v>2</v>
      </c>
      <c r="D176" s="140">
        <v>11.54</v>
      </c>
      <c r="E176" s="140">
        <v>23.08</v>
      </c>
      <c r="F176" s="140">
        <f t="shared" si="2"/>
        <v>30.003999999999998</v>
      </c>
    </row>
    <row r="177" spans="1:6">
      <c r="A177">
        <v>30.03</v>
      </c>
      <c r="B177" t="s">
        <v>383</v>
      </c>
      <c r="C177">
        <v>2</v>
      </c>
      <c r="D177" s="140">
        <v>24</v>
      </c>
      <c r="E177" s="140">
        <v>48</v>
      </c>
      <c r="F177" s="140">
        <f t="shared" si="2"/>
        <v>62.400000000000006</v>
      </c>
    </row>
    <row r="178" spans="1:6">
      <c r="A178">
        <v>30.03</v>
      </c>
      <c r="B178" t="s">
        <v>493</v>
      </c>
      <c r="C178">
        <v>4</v>
      </c>
      <c r="D178" s="140">
        <v>1.56</v>
      </c>
      <c r="E178" s="140">
        <v>6.24</v>
      </c>
      <c r="F178" s="140">
        <f t="shared" si="2"/>
        <v>8.1120000000000001</v>
      </c>
    </row>
    <row r="179" spans="1:6">
      <c r="A179">
        <v>30.03</v>
      </c>
      <c r="B179" t="s">
        <v>227</v>
      </c>
      <c r="C179">
        <v>2</v>
      </c>
      <c r="D179" s="140">
        <v>8.7899999999999991</v>
      </c>
      <c r="E179" s="140">
        <v>17.579999999999998</v>
      </c>
      <c r="F179" s="140">
        <f t="shared" si="2"/>
        <v>22.853999999999999</v>
      </c>
    </row>
    <row r="180" spans="1:6">
      <c r="A180">
        <v>30.03</v>
      </c>
      <c r="B180" t="s">
        <v>494</v>
      </c>
      <c r="C180">
        <v>80</v>
      </c>
      <c r="D180" s="140">
        <v>1.28</v>
      </c>
      <c r="E180" s="140">
        <v>102.4</v>
      </c>
      <c r="F180" s="140">
        <f t="shared" si="2"/>
        <v>133.12</v>
      </c>
    </row>
    <row r="181" spans="1:6">
      <c r="A181">
        <v>30.03</v>
      </c>
      <c r="B181" t="s">
        <v>414</v>
      </c>
      <c r="C181">
        <v>1</v>
      </c>
      <c r="D181" s="140">
        <v>12.47</v>
      </c>
      <c r="E181" s="140">
        <v>12.47</v>
      </c>
      <c r="F181" s="140">
        <f t="shared" si="2"/>
        <v>16.211000000000002</v>
      </c>
    </row>
    <row r="182" spans="1:6">
      <c r="A182">
        <v>30.03</v>
      </c>
      <c r="B182" t="s">
        <v>436</v>
      </c>
      <c r="C182">
        <v>12</v>
      </c>
      <c r="D182" s="140">
        <v>1.79</v>
      </c>
      <c r="E182" s="140">
        <v>21.48</v>
      </c>
      <c r="F182" s="140">
        <f t="shared" si="2"/>
        <v>27.924000000000003</v>
      </c>
    </row>
    <row r="183" spans="1:6">
      <c r="A183">
        <v>30.03</v>
      </c>
      <c r="B183" t="s">
        <v>495</v>
      </c>
      <c r="C183">
        <v>8</v>
      </c>
      <c r="D183" s="140">
        <v>1.61</v>
      </c>
      <c r="E183" s="140">
        <v>12.88</v>
      </c>
      <c r="F183" s="140">
        <f t="shared" si="2"/>
        <v>16.744000000000003</v>
      </c>
    </row>
    <row r="184" spans="1:6">
      <c r="A184">
        <v>30.03</v>
      </c>
      <c r="B184" t="s">
        <v>271</v>
      </c>
      <c r="C184">
        <v>3</v>
      </c>
      <c r="D184" s="140">
        <v>8.24</v>
      </c>
      <c r="E184" s="140">
        <v>24.72</v>
      </c>
      <c r="F184" s="140">
        <f t="shared" si="2"/>
        <v>32.136000000000003</v>
      </c>
    </row>
    <row r="185" spans="1:6">
      <c r="A185">
        <v>30.03</v>
      </c>
      <c r="B185" t="s">
        <v>279</v>
      </c>
      <c r="C185">
        <v>1</v>
      </c>
      <c r="D185" s="140">
        <v>1.97</v>
      </c>
      <c r="E185" s="140">
        <v>1.97</v>
      </c>
      <c r="F185" s="140">
        <f t="shared" si="2"/>
        <v>2.5609999999999999</v>
      </c>
    </row>
    <row r="186" spans="1:6">
      <c r="A186">
        <v>30.03</v>
      </c>
      <c r="B186" t="s">
        <v>272</v>
      </c>
      <c r="C186">
        <v>6</v>
      </c>
      <c r="D186" s="140">
        <v>1.64</v>
      </c>
      <c r="E186" s="140">
        <v>9.84</v>
      </c>
      <c r="F186" s="140">
        <f t="shared" si="2"/>
        <v>12.792</v>
      </c>
    </row>
    <row r="187" spans="1:6">
      <c r="A187">
        <v>30.03</v>
      </c>
      <c r="B187" t="s">
        <v>407</v>
      </c>
      <c r="C187">
        <v>2</v>
      </c>
      <c r="D187" s="140">
        <v>2.4700000000000002</v>
      </c>
      <c r="E187" s="140">
        <v>4.9400000000000004</v>
      </c>
      <c r="F187" s="140">
        <f t="shared" si="2"/>
        <v>6.4220000000000006</v>
      </c>
    </row>
    <row r="188" spans="1:6">
      <c r="A188">
        <v>30.03</v>
      </c>
      <c r="B188" t="s">
        <v>107</v>
      </c>
      <c r="C188">
        <v>1</v>
      </c>
      <c r="D188" s="140">
        <v>3.29</v>
      </c>
      <c r="E188" s="140">
        <v>3.29</v>
      </c>
      <c r="F188" s="140">
        <f t="shared" si="2"/>
        <v>4.2770000000000001</v>
      </c>
    </row>
    <row r="189" spans="1:6">
      <c r="A189">
        <v>30.03</v>
      </c>
      <c r="B189" t="s">
        <v>439</v>
      </c>
      <c r="C189">
        <v>2</v>
      </c>
      <c r="D189" s="140">
        <v>3.07</v>
      </c>
      <c r="E189" s="140">
        <v>6.14</v>
      </c>
      <c r="F189" s="140">
        <f t="shared" si="2"/>
        <v>7.9820000000000002</v>
      </c>
    </row>
    <row r="190" spans="1:6">
      <c r="A190">
        <v>30.03</v>
      </c>
      <c r="B190" t="s">
        <v>496</v>
      </c>
      <c r="C190">
        <v>6</v>
      </c>
      <c r="D190" s="140">
        <v>1.59</v>
      </c>
      <c r="E190" s="140">
        <v>9.5399999999999991</v>
      </c>
      <c r="F190" s="140">
        <f t="shared" si="2"/>
        <v>12.401999999999999</v>
      </c>
    </row>
    <row r="191" spans="1:6">
      <c r="A191">
        <v>30.03</v>
      </c>
      <c r="B191" t="s">
        <v>371</v>
      </c>
      <c r="C191">
        <v>2</v>
      </c>
      <c r="D191" s="140">
        <v>2.19</v>
      </c>
      <c r="E191" s="140">
        <v>4.38</v>
      </c>
      <c r="F191" s="140">
        <f t="shared" si="2"/>
        <v>5.694</v>
      </c>
    </row>
    <row r="192" spans="1:6">
      <c r="A192">
        <v>30.03</v>
      </c>
      <c r="B192" t="s">
        <v>273</v>
      </c>
      <c r="C192">
        <v>4</v>
      </c>
      <c r="D192" s="140">
        <v>2</v>
      </c>
      <c r="E192" s="140">
        <v>8</v>
      </c>
      <c r="F192" s="140">
        <f t="shared" si="2"/>
        <v>10.4</v>
      </c>
    </row>
    <row r="193" spans="1:11">
      <c r="A193">
        <v>30.03</v>
      </c>
      <c r="B193" t="s">
        <v>394</v>
      </c>
      <c r="C193">
        <v>1</v>
      </c>
      <c r="D193" s="140">
        <v>13.89</v>
      </c>
      <c r="E193" s="140">
        <v>13.89</v>
      </c>
      <c r="F193" s="140">
        <f>C193*13*2.5</f>
        <v>32.5</v>
      </c>
    </row>
    <row r="194" spans="1:11">
      <c r="A194">
        <v>30.03</v>
      </c>
      <c r="B194" t="s">
        <v>442</v>
      </c>
      <c r="C194">
        <v>2</v>
      </c>
      <c r="D194" s="140">
        <v>1.65</v>
      </c>
      <c r="E194" s="140">
        <v>3.3</v>
      </c>
      <c r="F194" s="140">
        <f t="shared" si="2"/>
        <v>4.29</v>
      </c>
    </row>
    <row r="195" spans="1:11">
      <c r="A195">
        <v>30.03</v>
      </c>
      <c r="B195" t="s">
        <v>405</v>
      </c>
      <c r="C195">
        <v>1</v>
      </c>
      <c r="D195" s="140">
        <v>3.29</v>
      </c>
      <c r="E195" s="140">
        <v>3.29</v>
      </c>
      <c r="F195" s="140">
        <f t="shared" ref="F195:F196" si="3">IF(OR(ISNUMBER(SEARCH("croissant",B195)),ISNUMBER(SEARCH("bretzel",B195)),ISNUMBER(SEARCH("bretzle",B195))),C195*2.9,E195*1.3)</f>
        <v>4.2770000000000001</v>
      </c>
    </row>
    <row r="196" spans="1:11">
      <c r="A196">
        <v>30.03</v>
      </c>
      <c r="B196" t="s">
        <v>443</v>
      </c>
      <c r="C196">
        <v>1</v>
      </c>
      <c r="D196" s="140">
        <v>2.19</v>
      </c>
      <c r="E196" s="140">
        <v>2.19</v>
      </c>
      <c r="F196" s="140">
        <f t="shared" si="3"/>
        <v>2.847</v>
      </c>
    </row>
    <row r="197" spans="1:11">
      <c r="A197" s="141" t="s">
        <v>497</v>
      </c>
      <c r="B197" s="142"/>
      <c r="C197" s="142"/>
      <c r="D197" s="142"/>
      <c r="E197" s="143">
        <f>SUM(E2:E196)</f>
        <v>2320.8500000000013</v>
      </c>
      <c r="F197" s="143">
        <f>SUM(F2:F196)</f>
        <v>3271.8069999999993</v>
      </c>
    </row>
    <row r="199" spans="1:11">
      <c r="A199" s="139" t="s">
        <v>276</v>
      </c>
      <c r="B199" s="139" t="s">
        <v>100</v>
      </c>
      <c r="C199" s="139" t="s">
        <v>446</v>
      </c>
      <c r="D199" s="139" t="s">
        <v>498</v>
      </c>
      <c r="I199" s="139" t="s">
        <v>276</v>
      </c>
      <c r="J199" s="139" t="s">
        <v>446</v>
      </c>
      <c r="K199" s="139" t="s">
        <v>498</v>
      </c>
    </row>
    <row r="200" spans="1:11">
      <c r="A200">
        <v>2.0299999999999998</v>
      </c>
      <c r="B200" s="140">
        <f>SUMIF($A$2:$A$196,A200,$E$2:$E$196)</f>
        <v>132.68</v>
      </c>
      <c r="C200" s="140">
        <f>SUMIF($A$2:$A$196,A200,$F$2:$F$196)</f>
        <v>258.584</v>
      </c>
      <c r="D200">
        <v>49</v>
      </c>
      <c r="I200">
        <v>2.0299999999999998</v>
      </c>
      <c r="J200" s="140">
        <f>SUMIF($A$2:$A$196,I200,$F$2:$F$196)</f>
        <v>258.584</v>
      </c>
      <c r="K200">
        <v>49</v>
      </c>
    </row>
    <row r="201" spans="1:11">
      <c r="A201">
        <v>4.03</v>
      </c>
      <c r="B201" s="140">
        <f>SUMIF($A$2:$A$196,A201,$E$2:$E$196)</f>
        <v>87.43</v>
      </c>
      <c r="C201" s="140">
        <f>SUMIF($A$2:$A$196,A201,$F$2:$F$196)</f>
        <v>113.65900000000001</v>
      </c>
      <c r="D201">
        <v>49</v>
      </c>
      <c r="I201">
        <v>4.03</v>
      </c>
      <c r="J201" s="140">
        <f>SUMIF($A$2:$A$196,I201,$F$2:$F$196)</f>
        <v>113.65900000000001</v>
      </c>
      <c r="K201">
        <v>49</v>
      </c>
    </row>
    <row r="202" spans="1:11">
      <c r="A202">
        <v>5.03</v>
      </c>
      <c r="B202" s="140">
        <f>SUMIF($A$2:$A$196,A202,$E$2:$E$196)</f>
        <v>30.16</v>
      </c>
      <c r="C202" s="140">
        <f>SUMIF($A$2:$A$196,A202,$F$2:$F$196)</f>
        <v>39.208000000000006</v>
      </c>
      <c r="I202">
        <v>5.03</v>
      </c>
      <c r="J202" s="140">
        <f>SUMIF($A$2:$A$196,I202,$F$2:$F$196)</f>
        <v>39.208000000000006</v>
      </c>
    </row>
    <row r="203" spans="1:11">
      <c r="A203">
        <v>9.0299999999999994</v>
      </c>
      <c r="B203" s="140">
        <f>SUMIF($A$2:$A$196,A203,$E$2:$E$196)</f>
        <v>261.64999999999998</v>
      </c>
      <c r="C203" s="140">
        <f>SUMIF($A$2:$A$196,A203,$F$2:$F$196)</f>
        <v>382.54500000000002</v>
      </c>
      <c r="D203">
        <v>49</v>
      </c>
      <c r="I203">
        <v>9.0299999999999994</v>
      </c>
      <c r="J203" s="140">
        <f>SUMIF($A$2:$A$196,I203,$F$2:$F$196)</f>
        <v>382.54500000000002</v>
      </c>
      <c r="K203">
        <v>49</v>
      </c>
    </row>
    <row r="204" spans="1:11">
      <c r="A204">
        <v>10.029999999999999</v>
      </c>
      <c r="B204" s="140">
        <f>SUMIF($A$2:$A$196,A204,$E$2:$E$196)</f>
        <v>69.44</v>
      </c>
      <c r="C204" s="140">
        <f>SUMIF($A$2:$A$196,A204,$F$2:$F$196)</f>
        <v>90.271999999999991</v>
      </c>
      <c r="D204">
        <v>49</v>
      </c>
      <c r="I204">
        <v>10.029999999999999</v>
      </c>
      <c r="J204" s="140">
        <f>SUMIF($A$2:$A$196,I204,$F$2:$F$196)</f>
        <v>90.271999999999991</v>
      </c>
      <c r="K204">
        <v>49</v>
      </c>
    </row>
    <row r="205" spans="1:11">
      <c r="A205">
        <v>11.03</v>
      </c>
      <c r="B205" s="140">
        <f>SUMIF($A$2:$A$196,A205,$E$2:$E$196)</f>
        <v>276.27000000000004</v>
      </c>
      <c r="C205" s="140">
        <f>SUMIF($A$2:$A$196,A205,$F$2:$F$196)</f>
        <v>401.37100000000004</v>
      </c>
      <c r="I205">
        <v>11.03</v>
      </c>
      <c r="J205" s="140">
        <f>SUMIF($A$2:$A$196,I205,$F$2:$F$196)</f>
        <v>401.37100000000004</v>
      </c>
    </row>
    <row r="206" spans="1:11">
      <c r="A206">
        <v>16.03</v>
      </c>
      <c r="B206" s="140">
        <f>SUMIF($A$2:$A$196,A206,$E$2:$E$196)</f>
        <v>343.84</v>
      </c>
      <c r="C206" s="140">
        <f>SUMIF($A$2:$A$196,A206,$F$2:$F$196)</f>
        <v>487.64499999999998</v>
      </c>
      <c r="D206">
        <v>49</v>
      </c>
      <c r="I206">
        <v>16.03</v>
      </c>
      <c r="J206" s="140">
        <f>SUMIF($A$2:$A$196,I206,$F$2:$F$196)</f>
        <v>487.64499999999998</v>
      </c>
      <c r="K206">
        <v>49</v>
      </c>
    </row>
    <row r="207" spans="1:11">
      <c r="A207">
        <v>18.03</v>
      </c>
      <c r="B207" s="140">
        <f>SUMIF($A$2:$A$196,A207,$E$2:$E$196)</f>
        <v>277.77</v>
      </c>
      <c r="C207" s="140">
        <f>SUMIF($A$2:$A$196,A207,$F$2:$F$196)</f>
        <v>375.54399999999993</v>
      </c>
      <c r="D207">
        <v>49</v>
      </c>
      <c r="I207">
        <v>18.03</v>
      </c>
      <c r="J207" s="140">
        <f>SUMIF($A$2:$A$196,I207,$F$2:$F$196)</f>
        <v>375.54399999999993</v>
      </c>
      <c r="K207">
        <v>49</v>
      </c>
    </row>
    <row r="208" spans="1:11">
      <c r="A208">
        <v>23.03</v>
      </c>
      <c r="B208" s="140">
        <f>SUMIF($A$2:$A$196,A208,$E$2:$E$196)</f>
        <v>270.26</v>
      </c>
      <c r="C208" s="140">
        <f>SUMIF($A$2:$A$196,A208,$F$2:$F$196)</f>
        <v>365.78099999999995</v>
      </c>
      <c r="D208">
        <v>49</v>
      </c>
      <c r="I208">
        <v>23.03</v>
      </c>
      <c r="J208" s="140">
        <f>SUMIF($A$2:$A$196,I208,$F$2:$F$196)</f>
        <v>365.78099999999995</v>
      </c>
      <c r="K208">
        <v>49</v>
      </c>
    </row>
    <row r="209" spans="1:11">
      <c r="A209">
        <v>25.03</v>
      </c>
      <c r="B209" s="140">
        <f>SUMIF($A$2:$A$196,A209,$E$2:$E$196)</f>
        <v>153.21</v>
      </c>
      <c r="C209" s="140">
        <f>SUMIF($A$2:$A$196,A209,$F$2:$F$196)</f>
        <v>199.17299999999997</v>
      </c>
      <c r="D209">
        <v>49</v>
      </c>
      <c r="I209">
        <v>25.03</v>
      </c>
      <c r="J209" s="140">
        <f>SUMIF($A$2:$A$196,I209,$F$2:$F$196)</f>
        <v>199.17299999999997</v>
      </c>
      <c r="K209">
        <v>49</v>
      </c>
    </row>
    <row r="210" spans="1:11">
      <c r="A210">
        <v>30.03</v>
      </c>
      <c r="B210" s="140">
        <f>SUMIF($A$2:$A$196,A210,$E$2:$E$196)</f>
        <v>418.14000000000016</v>
      </c>
      <c r="C210" s="140">
        <f>SUMIF($A$2:$A$196,A210,$F$2:$F$196)</f>
        <v>558.02500000000009</v>
      </c>
      <c r="D210">
        <v>49</v>
      </c>
      <c r="I210">
        <v>30.03</v>
      </c>
      <c r="J210" s="140">
        <f>SUMIF($A$2:$A$196,I210,$F$2:$F$196)</f>
        <v>558.02500000000009</v>
      </c>
      <c r="K210">
        <v>49</v>
      </c>
    </row>
    <row r="211" spans="1:11">
      <c r="A211" s="141" t="s">
        <v>499</v>
      </c>
      <c r="B211" s="143">
        <f>SUM(B200:B210)</f>
        <v>2320.85</v>
      </c>
      <c r="C211" s="143">
        <f>SUM(C200:C210)</f>
        <v>3271.8069999999998</v>
      </c>
      <c r="D211">
        <f>SUM(D200:D210)</f>
        <v>441</v>
      </c>
      <c r="I211" s="141" t="s">
        <v>499</v>
      </c>
      <c r="J211" s="143">
        <f>SUM(J200:J210)</f>
        <v>3271.8069999999998</v>
      </c>
      <c r="K211">
        <f>SUM(K200:K210)</f>
        <v>441</v>
      </c>
    </row>
    <row r="214" spans="1:11">
      <c r="C214" s="144">
        <f>(C211-B211)/B211</f>
        <v>0.40974513648016886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EE7A-8282-4C1D-A2CF-2C1EC70DBB9D}">
  <dimension ref="A1:G24"/>
  <sheetViews>
    <sheetView workbookViewId="0">
      <selection activeCell="H16" sqref="H16"/>
    </sheetView>
  </sheetViews>
  <sheetFormatPr defaultRowHeight="18.75" customHeight="1"/>
  <cols>
    <col min="1" max="1" width="16.42578125" bestFit="1" customWidth="1"/>
    <col min="2" max="2" width="30.7109375" bestFit="1" customWidth="1"/>
    <col min="3" max="3" width="23.42578125" customWidth="1"/>
    <col min="4" max="4" width="9" customWidth="1"/>
    <col min="5" max="5" width="15.140625" bestFit="1" customWidth="1"/>
    <col min="6" max="6" width="14.5703125" bestFit="1" customWidth="1"/>
    <col min="7" max="7" width="9.42578125" bestFit="1" customWidth="1"/>
  </cols>
  <sheetData>
    <row r="1" spans="1:7" ht="18.75" customHeight="1">
      <c r="A1" s="82" t="s">
        <v>92</v>
      </c>
      <c r="B1" s="117" t="s">
        <v>93</v>
      </c>
      <c r="C1" s="123" t="s">
        <v>348</v>
      </c>
      <c r="D1" s="121" t="s">
        <v>98</v>
      </c>
      <c r="E1" s="84" t="s">
        <v>96</v>
      </c>
      <c r="F1" s="127" t="s">
        <v>423</v>
      </c>
      <c r="G1" s="127" t="s">
        <v>100</v>
      </c>
    </row>
    <row r="2" spans="1:7" ht="18.75" customHeight="1">
      <c r="A2" s="107"/>
      <c r="B2" s="118" t="s">
        <v>500</v>
      </c>
      <c r="C2" s="124">
        <v>1</v>
      </c>
      <c r="D2" s="122" t="s">
        <v>138</v>
      </c>
      <c r="E2" s="98"/>
      <c r="F2" s="128">
        <v>8.2799999999999994</v>
      </c>
      <c r="G2" s="130">
        <f>C2*F2</f>
        <v>8.2799999999999994</v>
      </c>
    </row>
    <row r="3" spans="1:7" ht="18.75" customHeight="1">
      <c r="A3" s="107"/>
      <c r="B3" s="118" t="s">
        <v>441</v>
      </c>
      <c r="C3" s="124">
        <v>4</v>
      </c>
      <c r="D3" s="122" t="s">
        <v>147</v>
      </c>
      <c r="E3" s="98"/>
      <c r="F3" s="128">
        <v>1.59</v>
      </c>
      <c r="G3" s="130">
        <f>C3*F3</f>
        <v>6.36</v>
      </c>
    </row>
    <row r="4" spans="1:7" ht="18.75" customHeight="1">
      <c r="A4" s="107"/>
      <c r="B4" s="118" t="s">
        <v>352</v>
      </c>
      <c r="C4" s="124">
        <v>1</v>
      </c>
      <c r="D4" s="122" t="s">
        <v>7</v>
      </c>
      <c r="E4" s="98"/>
      <c r="F4" s="128">
        <v>10.220000000000001</v>
      </c>
      <c r="G4" s="130">
        <f>C4*F4</f>
        <v>10.220000000000001</v>
      </c>
    </row>
    <row r="5" spans="1:7" ht="18.75" customHeight="1">
      <c r="A5" s="107"/>
      <c r="B5" s="118" t="s">
        <v>501</v>
      </c>
      <c r="C5" s="124">
        <v>18</v>
      </c>
      <c r="D5" s="122" t="s">
        <v>147</v>
      </c>
      <c r="E5" s="98"/>
      <c r="F5" s="128">
        <v>1.69</v>
      </c>
      <c r="G5" s="130">
        <f>C5*F5</f>
        <v>30.419999999999998</v>
      </c>
    </row>
    <row r="6" spans="1:7" ht="18.75" customHeight="1">
      <c r="A6" s="107"/>
      <c r="B6" s="118" t="s">
        <v>432</v>
      </c>
      <c r="C6" s="124">
        <v>1</v>
      </c>
      <c r="D6" s="122" t="s">
        <v>7</v>
      </c>
      <c r="E6" s="98"/>
      <c r="F6" s="128">
        <v>11.54</v>
      </c>
      <c r="G6" s="130">
        <f>C6*F6</f>
        <v>11.54</v>
      </c>
    </row>
    <row r="7" spans="1:7" ht="18.75" customHeight="1">
      <c r="A7" s="107"/>
      <c r="B7" s="118" t="s">
        <v>502</v>
      </c>
      <c r="C7" s="124">
        <v>8</v>
      </c>
      <c r="D7" s="122" t="s">
        <v>147</v>
      </c>
      <c r="E7" s="98"/>
      <c r="F7" s="128">
        <v>1.69</v>
      </c>
      <c r="G7" s="130">
        <f>C7*F7</f>
        <v>13.52</v>
      </c>
    </row>
    <row r="8" spans="1:7" ht="18.75" customHeight="1">
      <c r="A8" s="107"/>
      <c r="B8" s="118" t="s">
        <v>503</v>
      </c>
      <c r="C8" s="124">
        <v>6</v>
      </c>
      <c r="D8" s="122" t="s">
        <v>147</v>
      </c>
      <c r="E8" s="98"/>
      <c r="F8" s="128">
        <v>1.78</v>
      </c>
      <c r="G8" s="130">
        <f>C8*F8</f>
        <v>10.68</v>
      </c>
    </row>
    <row r="9" spans="1:7" ht="18.75" customHeight="1">
      <c r="A9" s="107"/>
      <c r="B9" s="118" t="s">
        <v>504</v>
      </c>
      <c r="C9" s="124">
        <v>2</v>
      </c>
      <c r="D9" s="122" t="s">
        <v>147</v>
      </c>
      <c r="E9" s="98"/>
      <c r="F9" s="128">
        <v>2.4500000000000002</v>
      </c>
      <c r="G9" s="130">
        <f>C9*F9</f>
        <v>4.9000000000000004</v>
      </c>
    </row>
    <row r="10" spans="1:7" ht="18.75" customHeight="1">
      <c r="A10" s="96"/>
      <c r="B10" s="118" t="s">
        <v>379</v>
      </c>
      <c r="C10" s="124">
        <v>32</v>
      </c>
      <c r="D10" s="122" t="s">
        <v>217</v>
      </c>
      <c r="E10" s="98"/>
      <c r="F10" s="128">
        <v>0.5</v>
      </c>
      <c r="G10" s="130">
        <f>C10*F10</f>
        <v>16</v>
      </c>
    </row>
    <row r="11" spans="1:7" ht="18.75" customHeight="1">
      <c r="A11" s="96"/>
      <c r="B11" s="119" t="s">
        <v>505</v>
      </c>
      <c r="C11" s="124">
        <v>1</v>
      </c>
      <c r="D11" s="122" t="s">
        <v>138</v>
      </c>
      <c r="E11" s="98"/>
      <c r="F11" s="128">
        <v>31.25</v>
      </c>
      <c r="G11" s="130">
        <f>C11*F11</f>
        <v>31.25</v>
      </c>
    </row>
    <row r="12" spans="1:7" ht="18.75" customHeight="1">
      <c r="A12" s="96"/>
      <c r="B12" s="119" t="s">
        <v>506</v>
      </c>
      <c r="C12" s="124">
        <v>24</v>
      </c>
      <c r="D12" s="122" t="s">
        <v>217</v>
      </c>
      <c r="E12" s="98"/>
      <c r="F12" s="128">
        <v>0.55000000000000004</v>
      </c>
      <c r="G12" s="130">
        <f>C12*F12</f>
        <v>13.200000000000001</v>
      </c>
    </row>
    <row r="13" spans="1:7" ht="18.75" customHeight="1">
      <c r="A13" s="96"/>
      <c r="B13" s="119" t="s">
        <v>507</v>
      </c>
      <c r="C13" s="124">
        <v>1</v>
      </c>
      <c r="D13" s="122" t="s">
        <v>138</v>
      </c>
      <c r="E13" s="98"/>
      <c r="F13" s="128">
        <v>16.53</v>
      </c>
      <c r="G13" s="130">
        <f>C13*F13</f>
        <v>16.53</v>
      </c>
    </row>
    <row r="14" spans="1:7" ht="18.75" customHeight="1">
      <c r="A14" s="96"/>
      <c r="B14" s="126" t="s">
        <v>508</v>
      </c>
      <c r="C14" s="124">
        <v>1</v>
      </c>
      <c r="D14" s="122" t="s">
        <v>151</v>
      </c>
      <c r="E14" s="98" t="s">
        <v>509</v>
      </c>
      <c r="F14" s="128">
        <v>4.0599999999999996</v>
      </c>
      <c r="G14" s="130">
        <f>C14*F14</f>
        <v>4.0599999999999996</v>
      </c>
    </row>
    <row r="15" spans="1:7" ht="18.75" customHeight="1">
      <c r="A15" s="96"/>
      <c r="B15" s="119" t="s">
        <v>279</v>
      </c>
      <c r="C15" s="124">
        <v>2</v>
      </c>
      <c r="D15" s="122" t="s">
        <v>151</v>
      </c>
      <c r="E15" s="98" t="s">
        <v>509</v>
      </c>
      <c r="F15" s="128">
        <v>1.64</v>
      </c>
      <c r="G15" s="130">
        <f>C15*F15</f>
        <v>3.28</v>
      </c>
    </row>
    <row r="16" spans="1:7" ht="18.75" customHeight="1">
      <c r="A16" s="96"/>
      <c r="B16" s="118" t="s">
        <v>272</v>
      </c>
      <c r="C16" s="124">
        <v>8</v>
      </c>
      <c r="D16" s="122" t="s">
        <v>7</v>
      </c>
      <c r="E16" s="98"/>
      <c r="F16" s="128">
        <v>1.64</v>
      </c>
      <c r="G16" s="130">
        <f>C16*F16</f>
        <v>13.12</v>
      </c>
    </row>
    <row r="17" spans="1:7" ht="18.75" customHeight="1">
      <c r="A17" s="96"/>
      <c r="B17" s="118" t="s">
        <v>407</v>
      </c>
      <c r="C17" s="124">
        <v>2</v>
      </c>
      <c r="D17" s="122" t="s">
        <v>151</v>
      </c>
      <c r="E17" s="98"/>
      <c r="F17" s="128">
        <v>2.4700000000000002</v>
      </c>
      <c r="G17" s="130">
        <f>C17*F17</f>
        <v>4.9400000000000004</v>
      </c>
    </row>
    <row r="18" spans="1:7" ht="18.75" customHeight="1">
      <c r="A18" s="96"/>
      <c r="B18" s="118" t="s">
        <v>107</v>
      </c>
      <c r="C18" s="124">
        <v>2</v>
      </c>
      <c r="D18" s="122" t="s">
        <v>151</v>
      </c>
      <c r="E18" s="98" t="s">
        <v>509</v>
      </c>
      <c r="F18" s="128">
        <v>3.29</v>
      </c>
      <c r="G18" s="130">
        <f>C18*F18</f>
        <v>6.58</v>
      </c>
    </row>
    <row r="19" spans="1:7" ht="18.75" customHeight="1">
      <c r="A19" s="96"/>
      <c r="B19" s="118" t="s">
        <v>273</v>
      </c>
      <c r="C19" s="124">
        <v>4</v>
      </c>
      <c r="D19" s="122"/>
      <c r="E19" s="98"/>
      <c r="F19" s="128">
        <v>2.12</v>
      </c>
      <c r="G19" s="130">
        <f>C19*F19</f>
        <v>8.48</v>
      </c>
    </row>
    <row r="20" spans="1:7" ht="18.75" customHeight="1">
      <c r="A20" s="96"/>
      <c r="B20" s="118" t="s">
        <v>405</v>
      </c>
      <c r="C20" s="124">
        <v>2</v>
      </c>
      <c r="D20" s="122" t="s">
        <v>7</v>
      </c>
      <c r="E20" s="98"/>
      <c r="F20" s="128">
        <v>3.29</v>
      </c>
      <c r="G20" s="130">
        <f>C20*F20</f>
        <v>6.58</v>
      </c>
    </row>
    <row r="21" spans="1:7" ht="18.75" customHeight="1">
      <c r="A21" s="96"/>
      <c r="B21" s="118" t="s">
        <v>443</v>
      </c>
      <c r="C21" s="124">
        <v>2</v>
      </c>
      <c r="D21" s="122" t="s">
        <v>7</v>
      </c>
      <c r="E21" s="98"/>
      <c r="F21" s="128">
        <v>2.19</v>
      </c>
      <c r="G21" s="130">
        <f>C21*F21</f>
        <v>4.38</v>
      </c>
    </row>
    <row r="22" spans="1:7" ht="18.75" customHeight="1">
      <c r="A22" s="96"/>
      <c r="B22" s="118"/>
      <c r="C22" s="124"/>
      <c r="D22" s="122"/>
      <c r="E22" s="98"/>
      <c r="F22" s="128"/>
      <c r="G22" s="130"/>
    </row>
    <row r="23" spans="1:7" ht="18.75" customHeight="1">
      <c r="B23" s="120"/>
      <c r="C23" s="125"/>
      <c r="D23" s="120"/>
      <c r="F23" s="114"/>
      <c r="G23" s="114"/>
    </row>
    <row r="24" spans="1:7" ht="18.75" customHeight="1">
      <c r="B24" s="120"/>
      <c r="C24" s="125"/>
      <c r="D24" s="120"/>
      <c r="F24" s="138" t="s">
        <v>311</v>
      </c>
      <c r="G24" s="137">
        <f>SUM(G2:G23)</f>
        <v>224.32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E63D-EC23-4637-974D-70816055CD82}">
  <dimension ref="A1:G33"/>
  <sheetViews>
    <sheetView workbookViewId="0">
      <selection activeCell="J18" sqref="J18"/>
    </sheetView>
  </sheetViews>
  <sheetFormatPr defaultRowHeight="20.25" customHeight="1"/>
  <cols>
    <col min="1" max="1" width="16.42578125" bestFit="1" customWidth="1"/>
    <col min="2" max="2" width="40" customWidth="1"/>
    <col min="3" max="3" width="14.140625" customWidth="1"/>
    <col min="4" max="4" width="6.5703125" bestFit="1" customWidth="1"/>
    <col min="5" max="5" width="15.140625" bestFit="1" customWidth="1"/>
    <col min="6" max="6" width="14.5703125" bestFit="1" customWidth="1"/>
    <col min="7" max="7" width="11.28515625" customWidth="1"/>
  </cols>
  <sheetData>
    <row r="1" spans="1:7" ht="20.25" customHeight="1">
      <c r="A1" s="145" t="s">
        <v>92</v>
      </c>
      <c r="B1" s="117" t="s">
        <v>93</v>
      </c>
      <c r="C1" s="146" t="s">
        <v>348</v>
      </c>
      <c r="D1" s="117" t="s">
        <v>98</v>
      </c>
      <c r="E1" s="83" t="s">
        <v>96</v>
      </c>
      <c r="F1" s="147" t="s">
        <v>423</v>
      </c>
      <c r="G1" s="147" t="s">
        <v>100</v>
      </c>
    </row>
    <row r="2" spans="1:7" ht="20.25" customHeight="1">
      <c r="A2" s="148"/>
      <c r="B2" s="4" t="s">
        <v>510</v>
      </c>
      <c r="C2" s="124">
        <v>1</v>
      </c>
      <c r="D2" s="122" t="s">
        <v>151</v>
      </c>
      <c r="E2" s="98"/>
      <c r="F2" s="129">
        <v>10.050000000000001</v>
      </c>
      <c r="G2" s="130">
        <f>C2*F2</f>
        <v>10.050000000000001</v>
      </c>
    </row>
    <row r="3" spans="1:7" ht="20.25" customHeight="1">
      <c r="A3" s="148"/>
      <c r="B3" s="4" t="s">
        <v>414</v>
      </c>
      <c r="C3" s="124">
        <v>1</v>
      </c>
      <c r="D3" s="122" t="s">
        <v>7</v>
      </c>
      <c r="E3" s="98"/>
      <c r="F3" s="129">
        <v>10.69</v>
      </c>
      <c r="G3" s="130">
        <f>C3*F3</f>
        <v>10.69</v>
      </c>
    </row>
    <row r="4" spans="1:7" ht="20.25" customHeight="1">
      <c r="A4" s="148"/>
      <c r="B4" s="4" t="s">
        <v>511</v>
      </c>
      <c r="C4" s="124">
        <v>1</v>
      </c>
      <c r="D4" s="122" t="s">
        <v>151</v>
      </c>
      <c r="E4" s="98"/>
      <c r="F4" s="129">
        <v>10.050000000000001</v>
      </c>
      <c r="G4" s="130">
        <f>C4*F4</f>
        <v>10.050000000000001</v>
      </c>
    </row>
    <row r="5" spans="1:7" ht="20.25" customHeight="1">
      <c r="A5" s="148"/>
      <c r="B5" s="4" t="s">
        <v>512</v>
      </c>
      <c r="C5" s="124">
        <v>1</v>
      </c>
      <c r="D5" s="122" t="s">
        <v>138</v>
      </c>
      <c r="E5" s="98" t="s">
        <v>513</v>
      </c>
      <c r="F5" s="129">
        <v>3.99</v>
      </c>
      <c r="G5" s="130">
        <f>C5*F5</f>
        <v>3.99</v>
      </c>
    </row>
    <row r="6" spans="1:7" ht="20.25" customHeight="1">
      <c r="A6" s="148"/>
      <c r="B6" s="4" t="s">
        <v>514</v>
      </c>
      <c r="C6" s="124">
        <v>1</v>
      </c>
      <c r="D6" s="122" t="s">
        <v>138</v>
      </c>
      <c r="E6" s="98"/>
      <c r="F6" s="129">
        <v>12.99</v>
      </c>
      <c r="G6" s="130">
        <f>C6*F6</f>
        <v>12.99</v>
      </c>
    </row>
    <row r="7" spans="1:7" ht="20.25" customHeight="1">
      <c r="A7" s="148"/>
      <c r="B7" s="4" t="s">
        <v>515</v>
      </c>
      <c r="C7" s="124">
        <v>4</v>
      </c>
      <c r="D7" s="122" t="s">
        <v>151</v>
      </c>
      <c r="E7" s="98"/>
      <c r="F7" s="129">
        <v>2.06</v>
      </c>
      <c r="G7" s="130">
        <f>C7*F7</f>
        <v>8.24</v>
      </c>
    </row>
    <row r="8" spans="1:7" ht="20.25" customHeight="1">
      <c r="A8" s="148"/>
      <c r="B8" s="4" t="s">
        <v>516</v>
      </c>
      <c r="C8" s="124">
        <v>1</v>
      </c>
      <c r="D8" s="122" t="s">
        <v>151</v>
      </c>
      <c r="E8" s="98"/>
      <c r="F8" s="129">
        <v>8.2899999999999991</v>
      </c>
      <c r="G8" s="130">
        <f>C8*F8</f>
        <v>8.2899999999999991</v>
      </c>
    </row>
    <row r="9" spans="1:7" ht="20.25" customHeight="1">
      <c r="A9" s="148"/>
      <c r="B9" s="4" t="s">
        <v>517</v>
      </c>
      <c r="C9" s="124">
        <v>1</v>
      </c>
      <c r="D9" s="122" t="s">
        <v>138</v>
      </c>
      <c r="E9" s="98">
        <v>12</v>
      </c>
      <c r="F9" s="129">
        <v>12.4</v>
      </c>
      <c r="G9" s="130">
        <f>C9*F9</f>
        <v>12.4</v>
      </c>
    </row>
    <row r="10" spans="1:7" ht="20.25" customHeight="1">
      <c r="A10" s="149"/>
      <c r="B10" s="4" t="s">
        <v>518</v>
      </c>
      <c r="C10" s="124">
        <v>1</v>
      </c>
      <c r="D10" s="122" t="s">
        <v>138</v>
      </c>
      <c r="E10" s="98">
        <v>12</v>
      </c>
      <c r="F10" s="129">
        <v>12.4</v>
      </c>
      <c r="G10" s="130">
        <f>C10*F10</f>
        <v>12.4</v>
      </c>
    </row>
    <row r="11" spans="1:7" ht="20.25" customHeight="1">
      <c r="A11" s="149"/>
      <c r="B11" s="4" t="s">
        <v>519</v>
      </c>
      <c r="C11" s="124">
        <v>1</v>
      </c>
      <c r="D11" s="122" t="s">
        <v>138</v>
      </c>
      <c r="E11" s="98">
        <v>12</v>
      </c>
      <c r="F11" s="129">
        <v>12.9</v>
      </c>
      <c r="G11" s="130">
        <f>C11*F11</f>
        <v>12.9</v>
      </c>
    </row>
    <row r="12" spans="1:7" ht="20.25" customHeight="1">
      <c r="A12" s="149"/>
      <c r="B12" s="4" t="s">
        <v>520</v>
      </c>
      <c r="C12" s="124">
        <v>1</v>
      </c>
      <c r="D12" s="122" t="s">
        <v>138</v>
      </c>
      <c r="E12" s="98">
        <v>12</v>
      </c>
      <c r="F12" s="129">
        <v>12.9</v>
      </c>
      <c r="G12" s="130">
        <f>C12*F12</f>
        <v>12.9</v>
      </c>
    </row>
    <row r="13" spans="1:7" ht="20.25" customHeight="1">
      <c r="A13" s="149"/>
      <c r="B13" s="4" t="s">
        <v>521</v>
      </c>
      <c r="C13" s="124">
        <v>1</v>
      </c>
      <c r="D13" s="122" t="s">
        <v>7</v>
      </c>
      <c r="E13" s="98"/>
      <c r="F13" s="129">
        <v>11.54</v>
      </c>
      <c r="G13" s="130">
        <f>C13*F13</f>
        <v>11.54</v>
      </c>
    </row>
    <row r="14" spans="1:7" ht="20.25" customHeight="1">
      <c r="A14" s="149"/>
      <c r="B14" s="4" t="s">
        <v>522</v>
      </c>
      <c r="C14" s="124">
        <v>2</v>
      </c>
      <c r="D14" s="122" t="s">
        <v>151</v>
      </c>
      <c r="E14" s="98"/>
      <c r="F14" s="129">
        <v>1.81</v>
      </c>
      <c r="G14" s="130">
        <f>C14*F14</f>
        <v>3.62</v>
      </c>
    </row>
    <row r="15" spans="1:7" ht="20.25" customHeight="1">
      <c r="A15" s="149"/>
      <c r="B15" s="4" t="s">
        <v>523</v>
      </c>
      <c r="C15" s="124">
        <v>2</v>
      </c>
      <c r="D15" s="122" t="s">
        <v>151</v>
      </c>
      <c r="E15" s="98"/>
      <c r="F15" s="129">
        <v>1.88</v>
      </c>
      <c r="G15" s="130">
        <f>C15*F15</f>
        <v>3.76</v>
      </c>
    </row>
    <row r="16" spans="1:7" ht="20.25" customHeight="1">
      <c r="A16" s="149"/>
      <c r="B16" s="4" t="s">
        <v>285</v>
      </c>
      <c r="C16" s="124">
        <v>1</v>
      </c>
      <c r="D16" s="122" t="s">
        <v>7</v>
      </c>
      <c r="E16" s="98"/>
      <c r="F16" s="129">
        <v>10.220000000000001</v>
      </c>
      <c r="G16" s="130">
        <f>C16*F16</f>
        <v>10.220000000000001</v>
      </c>
    </row>
    <row r="17" spans="1:7" ht="20.25" customHeight="1">
      <c r="A17" s="149"/>
      <c r="B17" s="4" t="s">
        <v>524</v>
      </c>
      <c r="C17" s="124">
        <v>48</v>
      </c>
      <c r="D17" s="122" t="s">
        <v>147</v>
      </c>
      <c r="E17" s="98"/>
      <c r="F17" s="129">
        <v>1.79</v>
      </c>
      <c r="G17" s="130">
        <f>C17*F17</f>
        <v>85.92</v>
      </c>
    </row>
    <row r="18" spans="1:7" ht="20.25" customHeight="1">
      <c r="A18" s="149"/>
      <c r="B18" s="4" t="s">
        <v>525</v>
      </c>
      <c r="C18" s="124">
        <v>6</v>
      </c>
      <c r="D18" s="122" t="s">
        <v>147</v>
      </c>
      <c r="E18" s="98"/>
      <c r="F18" s="129">
        <v>1.99</v>
      </c>
      <c r="G18" s="130">
        <f>C18*F18</f>
        <v>11.94</v>
      </c>
    </row>
    <row r="19" spans="1:7" ht="20.25" customHeight="1">
      <c r="A19" s="149"/>
      <c r="B19" s="4" t="s">
        <v>526</v>
      </c>
      <c r="C19" s="124">
        <v>6</v>
      </c>
      <c r="D19" s="122" t="s">
        <v>147</v>
      </c>
      <c r="E19" s="98"/>
      <c r="F19" s="129">
        <v>1.89</v>
      </c>
      <c r="G19" s="130">
        <f>C19*F19</f>
        <v>11.34</v>
      </c>
    </row>
    <row r="20" spans="1:7" ht="20.25" customHeight="1">
      <c r="A20" s="149"/>
      <c r="B20" s="4" t="s">
        <v>527</v>
      </c>
      <c r="C20" s="124">
        <v>6</v>
      </c>
      <c r="D20" s="122" t="s">
        <v>147</v>
      </c>
      <c r="E20" s="98"/>
      <c r="F20" s="129">
        <v>1.99</v>
      </c>
      <c r="G20" s="130">
        <f>C20*F20</f>
        <v>11.94</v>
      </c>
    </row>
    <row r="21" spans="1:7" ht="20.25" customHeight="1">
      <c r="A21" s="149"/>
      <c r="B21" s="4" t="s">
        <v>528</v>
      </c>
      <c r="C21" s="124">
        <v>2</v>
      </c>
      <c r="D21" s="122" t="s">
        <v>151</v>
      </c>
      <c r="E21" s="98" t="s">
        <v>529</v>
      </c>
      <c r="F21" s="129">
        <v>16.53</v>
      </c>
      <c r="G21" s="130">
        <f>C21*F21</f>
        <v>33.06</v>
      </c>
    </row>
    <row r="22" spans="1:7" ht="20.25" customHeight="1">
      <c r="A22" s="149"/>
      <c r="B22" s="150" t="s">
        <v>530</v>
      </c>
      <c r="C22" s="124">
        <v>2</v>
      </c>
      <c r="D22" s="122" t="s">
        <v>7</v>
      </c>
      <c r="E22" s="98"/>
      <c r="F22" s="129">
        <v>1.97</v>
      </c>
      <c r="G22" s="130">
        <f>C22*F22</f>
        <v>3.94</v>
      </c>
    </row>
    <row r="23" spans="1:7" ht="20.25" customHeight="1">
      <c r="A23" s="149"/>
      <c r="B23" s="150" t="s">
        <v>307</v>
      </c>
      <c r="C23" s="124">
        <v>3</v>
      </c>
      <c r="D23" s="122" t="s">
        <v>7</v>
      </c>
      <c r="E23" s="98"/>
      <c r="F23" s="129">
        <v>8.24</v>
      </c>
      <c r="G23" s="130">
        <f>C23*F23</f>
        <v>24.72</v>
      </c>
    </row>
    <row r="24" spans="1:7" ht="20.25" customHeight="1">
      <c r="A24" s="149"/>
      <c r="B24" s="150" t="s">
        <v>531</v>
      </c>
      <c r="C24" s="124">
        <v>4</v>
      </c>
      <c r="D24" s="122" t="s">
        <v>7</v>
      </c>
      <c r="E24" s="98"/>
      <c r="F24" s="129">
        <v>1.64</v>
      </c>
      <c r="G24" s="130">
        <f>C24*F24</f>
        <v>6.56</v>
      </c>
    </row>
    <row r="25" spans="1:7" ht="20.25" customHeight="1">
      <c r="A25" s="149"/>
      <c r="B25" s="150" t="s">
        <v>532</v>
      </c>
      <c r="C25" s="124">
        <v>2</v>
      </c>
      <c r="D25" s="122" t="s">
        <v>7</v>
      </c>
      <c r="E25" s="98"/>
      <c r="F25" s="129">
        <v>4.17</v>
      </c>
      <c r="G25" s="130">
        <f>C25*F25</f>
        <v>8.34</v>
      </c>
    </row>
    <row r="26" spans="1:7" ht="20.25" customHeight="1">
      <c r="A26" s="149"/>
      <c r="B26" s="150" t="s">
        <v>450</v>
      </c>
      <c r="C26" s="124">
        <v>1</v>
      </c>
      <c r="D26" s="122" t="s">
        <v>151</v>
      </c>
      <c r="E26" s="98" t="s">
        <v>533</v>
      </c>
      <c r="F26" s="129">
        <v>1.86</v>
      </c>
      <c r="G26" s="130">
        <f>C26*F26</f>
        <v>1.86</v>
      </c>
    </row>
    <row r="27" spans="1:7" ht="20.25" customHeight="1">
      <c r="A27" s="149"/>
      <c r="B27" s="150" t="s">
        <v>281</v>
      </c>
      <c r="C27" s="124">
        <v>3</v>
      </c>
      <c r="D27" s="122" t="s">
        <v>7</v>
      </c>
      <c r="E27" s="98"/>
      <c r="F27" s="129">
        <v>2.19</v>
      </c>
      <c r="G27" s="130">
        <f>C27*F27</f>
        <v>6.57</v>
      </c>
    </row>
    <row r="28" spans="1:7" ht="20.25" customHeight="1">
      <c r="A28" s="149"/>
      <c r="B28" s="151"/>
      <c r="C28" s="124"/>
      <c r="D28" s="122"/>
      <c r="E28" s="98"/>
      <c r="F28" s="129"/>
      <c r="G28" s="130"/>
    </row>
    <row r="29" spans="1:7" ht="20.25" customHeight="1">
      <c r="A29" s="149"/>
      <c r="B29" s="151"/>
      <c r="C29" s="124"/>
      <c r="D29" s="122"/>
      <c r="E29" s="98"/>
      <c r="F29" s="129"/>
      <c r="G29" s="130"/>
    </row>
    <row r="30" spans="1:7" ht="20.25" customHeight="1">
      <c r="A30" s="149"/>
      <c r="B30" s="151"/>
      <c r="C30" s="124"/>
      <c r="D30" s="122"/>
      <c r="E30" s="98"/>
      <c r="F30" s="129"/>
      <c r="G30" s="130"/>
    </row>
    <row r="31" spans="1:7" ht="20.25" customHeight="1">
      <c r="A31" s="149"/>
      <c r="B31" s="151"/>
      <c r="C31" s="124"/>
      <c r="D31" s="122"/>
      <c r="E31" s="98"/>
      <c r="F31" s="129"/>
      <c r="G31" s="130"/>
    </row>
    <row r="32" spans="1:7" ht="20.25" customHeight="1">
      <c r="B32" s="120"/>
      <c r="C32" s="125"/>
      <c r="D32" s="120"/>
      <c r="F32" s="114"/>
      <c r="G32" s="114"/>
    </row>
    <row r="33" spans="2:7" ht="20.25" customHeight="1">
      <c r="B33" s="120"/>
      <c r="C33" s="125"/>
      <c r="D33" s="120"/>
      <c r="F33" s="138" t="s">
        <v>311</v>
      </c>
      <c r="G33" s="137">
        <f>SUM(G2:G27)</f>
        <v>350.23000000000008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CA69-3A53-422D-9942-7C7456A49A5A}">
  <sheetPr>
    <pageSetUpPr fitToPage="1"/>
  </sheetPr>
  <dimension ref="A1:G40"/>
  <sheetViews>
    <sheetView workbookViewId="0">
      <selection activeCell="L17" sqref="L17"/>
    </sheetView>
  </sheetViews>
  <sheetFormatPr defaultRowHeight="15"/>
  <cols>
    <col min="1" max="1" width="16.42578125" bestFit="1" customWidth="1"/>
    <col min="2" max="2" width="50" customWidth="1"/>
    <col min="3" max="3" width="18.85546875" bestFit="1" customWidth="1"/>
    <col min="4" max="4" width="6.5703125" bestFit="1" customWidth="1"/>
    <col min="5" max="5" width="22.140625" customWidth="1"/>
    <col min="6" max="6" width="14.5703125" bestFit="1" customWidth="1"/>
    <col min="7" max="7" width="9.42578125" bestFit="1" customWidth="1"/>
  </cols>
  <sheetData>
    <row r="1" spans="1:7" ht="21">
      <c r="A1" s="145" t="s">
        <v>92</v>
      </c>
      <c r="B1" s="117" t="s">
        <v>93</v>
      </c>
      <c r="C1" s="146" t="s">
        <v>348</v>
      </c>
      <c r="D1" s="117" t="s">
        <v>98</v>
      </c>
      <c r="E1" s="83" t="s">
        <v>96</v>
      </c>
      <c r="F1" s="147" t="s">
        <v>423</v>
      </c>
      <c r="G1" s="147" t="s">
        <v>100</v>
      </c>
    </row>
    <row r="2" spans="1:7">
      <c r="A2" s="148"/>
      <c r="B2" s="4" t="s">
        <v>534</v>
      </c>
      <c r="C2" s="124">
        <v>16</v>
      </c>
      <c r="D2" s="122" t="s">
        <v>151</v>
      </c>
      <c r="E2" s="98" t="s">
        <v>535</v>
      </c>
      <c r="F2" s="129">
        <v>0.65</v>
      </c>
      <c r="G2" s="130">
        <f>C2*F2</f>
        <v>10.4</v>
      </c>
    </row>
    <row r="3" spans="1:7">
      <c r="A3" s="148"/>
      <c r="B3" s="4" t="s">
        <v>536</v>
      </c>
      <c r="C3" s="124">
        <v>1</v>
      </c>
      <c r="D3" s="122" t="s">
        <v>151</v>
      </c>
      <c r="E3" s="98" t="s">
        <v>377</v>
      </c>
      <c r="F3" s="129">
        <v>1.81</v>
      </c>
      <c r="G3" s="130">
        <f>C3*F3</f>
        <v>1.81</v>
      </c>
    </row>
    <row r="4" spans="1:7">
      <c r="A4" s="148"/>
      <c r="B4" s="4" t="s">
        <v>537</v>
      </c>
      <c r="C4" s="124">
        <v>1</v>
      </c>
      <c r="D4" s="122" t="s">
        <v>7</v>
      </c>
      <c r="E4" s="98"/>
      <c r="F4" s="129">
        <v>11.54</v>
      </c>
      <c r="G4" s="130">
        <f>C4*F4</f>
        <v>11.54</v>
      </c>
    </row>
    <row r="5" spans="1:7">
      <c r="A5" s="148"/>
      <c r="B5" s="4" t="s">
        <v>538</v>
      </c>
      <c r="C5" s="124">
        <v>1</v>
      </c>
      <c r="D5" s="122" t="s">
        <v>184</v>
      </c>
      <c r="E5" s="98" t="s">
        <v>539</v>
      </c>
      <c r="F5" s="129">
        <v>6.49</v>
      </c>
      <c r="G5" s="130">
        <f>C5*F5</f>
        <v>6.49</v>
      </c>
    </row>
    <row r="6" spans="1:7">
      <c r="A6" s="148"/>
      <c r="B6" s="4" t="s">
        <v>540</v>
      </c>
      <c r="C6" s="124">
        <v>12</v>
      </c>
      <c r="D6" s="122" t="s">
        <v>147</v>
      </c>
      <c r="E6" s="98"/>
      <c r="F6" s="129">
        <v>1.79</v>
      </c>
      <c r="G6" s="130">
        <f>C6*F6</f>
        <v>21.48</v>
      </c>
    </row>
    <row r="7" spans="1:7">
      <c r="A7" s="148"/>
      <c r="B7" s="4" t="s">
        <v>213</v>
      </c>
      <c r="C7" s="124">
        <v>4</v>
      </c>
      <c r="D7" s="122" t="s">
        <v>151</v>
      </c>
      <c r="E7" s="98"/>
      <c r="F7" s="129">
        <v>2.12</v>
      </c>
      <c r="G7" s="130">
        <f>C7*F7</f>
        <v>8.48</v>
      </c>
    </row>
    <row r="8" spans="1:7">
      <c r="A8" s="148"/>
      <c r="B8" s="4" t="s">
        <v>541</v>
      </c>
      <c r="C8" s="124">
        <v>1</v>
      </c>
      <c r="D8" s="122" t="s">
        <v>374</v>
      </c>
      <c r="E8" s="98"/>
      <c r="F8" s="129">
        <v>17.440000000000001</v>
      </c>
      <c r="G8" s="130">
        <f>C8*F8</f>
        <v>17.440000000000001</v>
      </c>
    </row>
    <row r="9" spans="1:7">
      <c r="A9" s="148"/>
      <c r="B9" s="4" t="s">
        <v>542</v>
      </c>
      <c r="C9" s="124">
        <v>1</v>
      </c>
      <c r="D9" s="122" t="s">
        <v>374</v>
      </c>
      <c r="E9" s="98"/>
      <c r="F9" s="129">
        <v>31.25</v>
      </c>
      <c r="G9" s="130">
        <f>C9*F9</f>
        <v>31.25</v>
      </c>
    </row>
    <row r="10" spans="1:7">
      <c r="A10" s="149"/>
      <c r="B10" s="4" t="s">
        <v>274</v>
      </c>
      <c r="C10" s="124">
        <v>3</v>
      </c>
      <c r="D10" s="122" t="s">
        <v>147</v>
      </c>
      <c r="E10" s="98"/>
      <c r="F10" s="129">
        <v>1.89</v>
      </c>
      <c r="G10" s="130">
        <f>C10*F10</f>
        <v>5.67</v>
      </c>
    </row>
    <row r="11" spans="1:7">
      <c r="A11" s="149"/>
      <c r="B11" s="4" t="s">
        <v>543</v>
      </c>
      <c r="C11" s="124">
        <v>1</v>
      </c>
      <c r="D11" s="122" t="s">
        <v>151</v>
      </c>
      <c r="E11" s="98" t="s">
        <v>544</v>
      </c>
      <c r="F11" s="129">
        <v>10.050000000000001</v>
      </c>
      <c r="G11" s="130">
        <f>C11*F11</f>
        <v>10.050000000000001</v>
      </c>
    </row>
    <row r="12" spans="1:7">
      <c r="A12" s="149"/>
      <c r="B12" s="4" t="s">
        <v>545</v>
      </c>
      <c r="C12" s="124">
        <v>2</v>
      </c>
      <c r="D12" s="122" t="s">
        <v>151</v>
      </c>
      <c r="E12" s="98"/>
      <c r="F12" s="129">
        <v>2.06</v>
      </c>
      <c r="G12" s="130">
        <f>C12*F12</f>
        <v>4.12</v>
      </c>
    </row>
    <row r="13" spans="1:7">
      <c r="A13" s="149"/>
      <c r="B13" s="4" t="s">
        <v>496</v>
      </c>
      <c r="C13" s="124">
        <v>3</v>
      </c>
      <c r="D13" s="122" t="s">
        <v>147</v>
      </c>
      <c r="E13" s="98"/>
      <c r="F13" s="129">
        <v>1.59</v>
      </c>
      <c r="G13" s="130">
        <f>C13*F13</f>
        <v>4.7700000000000005</v>
      </c>
    </row>
    <row r="14" spans="1:7">
      <c r="A14" s="149"/>
      <c r="B14" s="4" t="s">
        <v>546</v>
      </c>
      <c r="C14" s="124">
        <v>4</v>
      </c>
      <c r="D14" s="122" t="s">
        <v>147</v>
      </c>
      <c r="E14" s="98"/>
      <c r="F14" s="129">
        <v>1.78</v>
      </c>
      <c r="G14" s="130">
        <f>C14*F14</f>
        <v>7.12</v>
      </c>
    </row>
    <row r="15" spans="1:7">
      <c r="A15" s="149"/>
      <c r="B15" s="4" t="s">
        <v>547</v>
      </c>
      <c r="C15" s="124">
        <v>2</v>
      </c>
      <c r="D15" s="122" t="s">
        <v>147</v>
      </c>
      <c r="E15" s="98"/>
      <c r="F15" s="129">
        <v>1.99</v>
      </c>
      <c r="G15" s="130">
        <f>C15*F15</f>
        <v>3.98</v>
      </c>
    </row>
    <row r="16" spans="1:7">
      <c r="A16" s="149"/>
      <c r="B16" s="4" t="s">
        <v>548</v>
      </c>
      <c r="C16" s="124">
        <v>4</v>
      </c>
      <c r="D16" s="122" t="s">
        <v>147</v>
      </c>
      <c r="E16" s="98"/>
      <c r="F16" s="129">
        <v>1.79</v>
      </c>
      <c r="G16" s="130">
        <f>C16*F16</f>
        <v>7.16</v>
      </c>
    </row>
    <row r="17" spans="1:7">
      <c r="A17" s="149"/>
      <c r="B17" s="4" t="s">
        <v>549</v>
      </c>
      <c r="C17" s="124">
        <v>2</v>
      </c>
      <c r="D17" s="122" t="s">
        <v>147</v>
      </c>
      <c r="E17" s="98"/>
      <c r="F17" s="129">
        <v>1.99</v>
      </c>
      <c r="G17" s="130">
        <f>C17*F17</f>
        <v>3.98</v>
      </c>
    </row>
    <row r="18" spans="1:7">
      <c r="A18" s="149"/>
      <c r="B18" s="4" t="s">
        <v>550</v>
      </c>
      <c r="C18" s="124">
        <v>1</v>
      </c>
      <c r="D18" s="122" t="s">
        <v>374</v>
      </c>
      <c r="E18" s="98"/>
      <c r="F18" s="129">
        <v>14.9</v>
      </c>
      <c r="G18" s="130">
        <f>C18*F18</f>
        <v>14.9</v>
      </c>
    </row>
    <row r="19" spans="1:7">
      <c r="A19" s="149"/>
      <c r="B19" s="4" t="s">
        <v>551</v>
      </c>
      <c r="C19" s="124">
        <v>1</v>
      </c>
      <c r="D19" s="122" t="s">
        <v>374</v>
      </c>
      <c r="E19" s="98"/>
      <c r="F19" s="129">
        <v>14.9</v>
      </c>
      <c r="G19" s="130">
        <f>C19*F19</f>
        <v>14.9</v>
      </c>
    </row>
    <row r="20" spans="1:7">
      <c r="A20" s="149"/>
      <c r="B20" s="4" t="s">
        <v>552</v>
      </c>
      <c r="C20" s="124">
        <v>1</v>
      </c>
      <c r="D20" s="122" t="s">
        <v>374</v>
      </c>
      <c r="E20" s="98"/>
      <c r="F20" s="129">
        <v>14.9</v>
      </c>
      <c r="G20" s="130">
        <f>C20*F20</f>
        <v>14.9</v>
      </c>
    </row>
    <row r="21" spans="1:7">
      <c r="A21" s="149"/>
      <c r="B21" s="4" t="s">
        <v>553</v>
      </c>
      <c r="C21" s="124">
        <v>1</v>
      </c>
      <c r="D21" s="122" t="s">
        <v>374</v>
      </c>
      <c r="E21" s="98"/>
      <c r="F21" s="129">
        <v>14.9</v>
      </c>
      <c r="G21" s="130">
        <f>C21*F21</f>
        <v>14.9</v>
      </c>
    </row>
    <row r="22" spans="1:7">
      <c r="A22" s="149"/>
      <c r="B22" s="150" t="s">
        <v>554</v>
      </c>
      <c r="C22" s="124">
        <v>1</v>
      </c>
      <c r="D22" s="122" t="s">
        <v>374</v>
      </c>
      <c r="E22" s="98"/>
      <c r="F22" s="129">
        <v>3.99</v>
      </c>
      <c r="G22" s="130">
        <f>C22*F22</f>
        <v>3.99</v>
      </c>
    </row>
    <row r="23" spans="1:7">
      <c r="A23" s="149"/>
      <c r="B23" s="150" t="s">
        <v>555</v>
      </c>
      <c r="C23" s="124">
        <v>1</v>
      </c>
      <c r="D23" s="122" t="s">
        <v>374</v>
      </c>
      <c r="E23" s="98"/>
      <c r="F23" s="129">
        <v>4.55</v>
      </c>
      <c r="G23" s="130">
        <f>C23*F23</f>
        <v>4.55</v>
      </c>
    </row>
    <row r="24" spans="1:7">
      <c r="A24" s="149"/>
      <c r="B24" s="150" t="s">
        <v>556</v>
      </c>
      <c r="C24" s="124">
        <v>1</v>
      </c>
      <c r="D24" s="122" t="s">
        <v>374</v>
      </c>
      <c r="E24" s="98"/>
      <c r="F24" s="129">
        <v>4.55</v>
      </c>
      <c r="G24" s="130">
        <f>C24*F24</f>
        <v>4.55</v>
      </c>
    </row>
    <row r="25" spans="1:7">
      <c r="A25" s="149"/>
      <c r="B25" s="150" t="s">
        <v>557</v>
      </c>
      <c r="C25" s="124">
        <v>1</v>
      </c>
      <c r="D25" s="122" t="s">
        <v>151</v>
      </c>
      <c r="E25" s="98"/>
      <c r="F25" s="129">
        <v>1.88</v>
      </c>
      <c r="G25" s="130">
        <f>C25*F25</f>
        <v>1.88</v>
      </c>
    </row>
    <row r="26" spans="1:7">
      <c r="A26" s="149"/>
      <c r="B26" s="150" t="s">
        <v>558</v>
      </c>
      <c r="C26" s="124">
        <v>1</v>
      </c>
      <c r="D26" s="122" t="s">
        <v>320</v>
      </c>
      <c r="E26" s="98"/>
      <c r="F26" s="129">
        <v>8.2799999999999994</v>
      </c>
      <c r="G26" s="130">
        <f>C26*F26</f>
        <v>8.2799999999999994</v>
      </c>
    </row>
    <row r="27" spans="1:7">
      <c r="A27" s="149"/>
      <c r="B27" s="151" t="s">
        <v>559</v>
      </c>
      <c r="C27" s="124">
        <v>2</v>
      </c>
      <c r="D27" s="122" t="s">
        <v>7</v>
      </c>
      <c r="E27" s="98"/>
      <c r="F27" s="129">
        <v>2.04</v>
      </c>
      <c r="G27" s="130">
        <f>C27*F27</f>
        <v>4.08</v>
      </c>
    </row>
    <row r="28" spans="1:7">
      <c r="A28" s="149"/>
      <c r="B28" s="151" t="s">
        <v>560</v>
      </c>
      <c r="C28" s="124">
        <v>1</v>
      </c>
      <c r="D28" s="122" t="s">
        <v>7</v>
      </c>
      <c r="E28" s="98"/>
      <c r="F28" s="129">
        <v>3.29</v>
      </c>
      <c r="G28" s="130">
        <f>C28*F28</f>
        <v>3.29</v>
      </c>
    </row>
    <row r="29" spans="1:7">
      <c r="A29" s="149"/>
      <c r="B29" s="151" t="s">
        <v>561</v>
      </c>
      <c r="C29" s="124">
        <v>1</v>
      </c>
      <c r="D29" s="122" t="s">
        <v>151</v>
      </c>
      <c r="E29" s="98"/>
      <c r="F29" s="129">
        <v>2.74</v>
      </c>
      <c r="G29" s="130">
        <f>C29*F29</f>
        <v>2.74</v>
      </c>
    </row>
    <row r="30" spans="1:7">
      <c r="A30" s="153"/>
      <c r="B30" s="154" t="s">
        <v>562</v>
      </c>
      <c r="C30" s="155">
        <v>4</v>
      </c>
      <c r="D30" s="156" t="s">
        <v>7</v>
      </c>
      <c r="E30" s="157"/>
      <c r="F30" s="158">
        <v>2.19</v>
      </c>
      <c r="G30" s="159">
        <f>C30*F30</f>
        <v>8.76</v>
      </c>
    </row>
    <row r="31" spans="1:7">
      <c r="A31" s="27"/>
      <c r="B31" s="156" t="s">
        <v>563</v>
      </c>
      <c r="C31" s="155">
        <v>4</v>
      </c>
      <c r="D31" s="156" t="s">
        <v>7</v>
      </c>
      <c r="E31" s="38"/>
      <c r="F31" s="162">
        <v>1.64</v>
      </c>
      <c r="G31" s="165">
        <f>C31*F31</f>
        <v>6.56</v>
      </c>
    </row>
    <row r="32" spans="1:7">
      <c r="A32" s="4"/>
      <c r="B32" s="4" t="s">
        <v>564</v>
      </c>
      <c r="C32" s="169">
        <v>2</v>
      </c>
      <c r="D32" s="4" t="s">
        <v>151</v>
      </c>
      <c r="E32" s="168" t="s">
        <v>509</v>
      </c>
      <c r="F32" s="163">
        <v>1.97</v>
      </c>
      <c r="G32" s="166">
        <f>C32*F32</f>
        <v>3.94</v>
      </c>
    </row>
    <row r="33" spans="1:7">
      <c r="A33" s="4"/>
      <c r="B33" s="4" t="s">
        <v>565</v>
      </c>
      <c r="C33" s="169">
        <v>2</v>
      </c>
      <c r="D33" s="4" t="s">
        <v>151</v>
      </c>
      <c r="E33" s="168" t="s">
        <v>566</v>
      </c>
      <c r="F33" s="163">
        <v>1.86</v>
      </c>
      <c r="G33" s="166">
        <f>C33*F33</f>
        <v>3.72</v>
      </c>
    </row>
    <row r="34" spans="1:7">
      <c r="A34" s="4"/>
      <c r="B34" s="4" t="s">
        <v>567</v>
      </c>
      <c r="C34" s="169">
        <v>1</v>
      </c>
      <c r="D34" s="4" t="s">
        <v>7</v>
      </c>
      <c r="E34" s="168"/>
      <c r="F34" s="163">
        <v>2.41</v>
      </c>
      <c r="G34" s="166">
        <f>C34*F34</f>
        <v>2.41</v>
      </c>
    </row>
    <row r="35" spans="1:7">
      <c r="A35" s="4"/>
      <c r="B35" s="4" t="s">
        <v>530</v>
      </c>
      <c r="C35" s="169">
        <v>1</v>
      </c>
      <c r="D35" s="4" t="s">
        <v>7</v>
      </c>
      <c r="E35" s="168"/>
      <c r="F35" s="163">
        <v>1.97</v>
      </c>
      <c r="G35" s="166">
        <f>C35*F35</f>
        <v>1.97</v>
      </c>
    </row>
    <row r="36" spans="1:7">
      <c r="A36" s="4"/>
      <c r="B36" s="4" t="s">
        <v>568</v>
      </c>
      <c r="C36" s="169">
        <v>2</v>
      </c>
      <c r="D36" s="4" t="s">
        <v>217</v>
      </c>
      <c r="E36" s="168"/>
      <c r="F36" s="163">
        <v>1.49</v>
      </c>
      <c r="G36" s="166">
        <f>C36*F36</f>
        <v>2.98</v>
      </c>
    </row>
    <row r="37" spans="1:7">
      <c r="A37" s="27"/>
      <c r="B37" s="27" t="s">
        <v>569</v>
      </c>
      <c r="C37" s="170">
        <v>2</v>
      </c>
      <c r="D37" s="27" t="s">
        <v>217</v>
      </c>
      <c r="E37" s="171"/>
      <c r="F37" s="164">
        <v>1.49</v>
      </c>
      <c r="G37" s="167">
        <f>C37*F37</f>
        <v>2.98</v>
      </c>
    </row>
    <row r="38" spans="1:7">
      <c r="A38" s="4"/>
      <c r="B38" s="122" t="s">
        <v>570</v>
      </c>
      <c r="C38" s="152">
        <v>10</v>
      </c>
      <c r="D38" s="122" t="s">
        <v>217</v>
      </c>
      <c r="E38" s="4"/>
      <c r="F38" s="172">
        <v>0.28999999999999998</v>
      </c>
      <c r="G38" s="173">
        <f>F38*C38</f>
        <v>2.9</v>
      </c>
    </row>
    <row r="39" spans="1:7">
      <c r="A39" s="4"/>
      <c r="B39" s="122" t="s">
        <v>571</v>
      </c>
      <c r="C39" s="152">
        <v>15</v>
      </c>
      <c r="D39" s="122"/>
      <c r="E39" s="4"/>
      <c r="F39" s="172">
        <v>0.55000000000000004</v>
      </c>
      <c r="G39" s="173">
        <f>F39*C39</f>
        <v>8.25</v>
      </c>
    </row>
    <row r="40" spans="1:7">
      <c r="B40" s="120"/>
      <c r="C40" s="125"/>
      <c r="D40" s="120"/>
      <c r="F40" s="160" t="s">
        <v>311</v>
      </c>
      <c r="G40" s="161">
        <f>SUM(G2:G39)</f>
        <v>293.17000000000013</v>
      </c>
    </row>
  </sheetData>
  <pageMargins left="0.7" right="0.7" top="0.75" bottom="0.75" header="0.3" footer="0.3"/>
  <pageSetup fitToHeight="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F355-2E5A-4620-9567-C96B0BB64141}">
  <dimension ref="A1:G36"/>
  <sheetViews>
    <sheetView workbookViewId="0">
      <selection activeCell="B9" sqref="B9"/>
    </sheetView>
  </sheetViews>
  <sheetFormatPr defaultRowHeight="15"/>
  <cols>
    <col min="1" max="1" width="16.42578125" bestFit="1" customWidth="1"/>
    <col min="2" max="2" width="35.85546875" customWidth="1"/>
    <col min="3" max="3" width="19.140625" customWidth="1"/>
    <col min="4" max="4" width="6.5703125" bestFit="1" customWidth="1"/>
    <col min="5" max="5" width="26.140625" customWidth="1"/>
    <col min="6" max="6" width="14.5703125" bestFit="1" customWidth="1"/>
    <col min="7" max="7" width="13.42578125" customWidth="1"/>
  </cols>
  <sheetData>
    <row r="1" spans="1:7" ht="21">
      <c r="A1" s="145" t="s">
        <v>92</v>
      </c>
      <c r="B1" s="117" t="s">
        <v>93</v>
      </c>
      <c r="C1" s="146" t="s">
        <v>348</v>
      </c>
      <c r="D1" s="117" t="s">
        <v>98</v>
      </c>
      <c r="E1" s="83" t="s">
        <v>96</v>
      </c>
      <c r="F1" s="147" t="s">
        <v>423</v>
      </c>
      <c r="G1" s="147" t="s">
        <v>100</v>
      </c>
    </row>
    <row r="2" spans="1:7">
      <c r="A2" s="148"/>
      <c r="B2" s="4" t="s">
        <v>534</v>
      </c>
      <c r="C2" s="124">
        <v>16</v>
      </c>
      <c r="D2" s="122" t="s">
        <v>151</v>
      </c>
      <c r="E2" s="98" t="s">
        <v>535</v>
      </c>
      <c r="F2" s="129">
        <v>0.65</v>
      </c>
      <c r="G2" s="130">
        <f>C2*F2</f>
        <v>10.4</v>
      </c>
    </row>
    <row r="3" spans="1:7">
      <c r="A3" s="148"/>
      <c r="B3" s="4" t="s">
        <v>536</v>
      </c>
      <c r="C3" s="124">
        <v>1</v>
      </c>
      <c r="D3" s="122" t="s">
        <v>151</v>
      </c>
      <c r="E3" s="98" t="s">
        <v>377</v>
      </c>
      <c r="F3" s="129">
        <v>1.81</v>
      </c>
      <c r="G3" s="130">
        <f>C3*F3</f>
        <v>1.81</v>
      </c>
    </row>
    <row r="4" spans="1:7">
      <c r="A4" s="148"/>
      <c r="B4" s="4" t="s">
        <v>537</v>
      </c>
      <c r="C4" s="124">
        <v>1</v>
      </c>
      <c r="D4" s="122" t="s">
        <v>7</v>
      </c>
      <c r="E4" s="98"/>
      <c r="F4" s="129">
        <v>11.54</v>
      </c>
      <c r="G4" s="130">
        <f>C4*F4</f>
        <v>11.54</v>
      </c>
    </row>
    <row r="5" spans="1:7">
      <c r="A5" s="148"/>
      <c r="B5" s="4" t="s">
        <v>538</v>
      </c>
      <c r="C5" s="124">
        <v>1</v>
      </c>
      <c r="D5" s="122" t="s">
        <v>324</v>
      </c>
      <c r="E5" s="98" t="s">
        <v>539</v>
      </c>
      <c r="F5" s="129">
        <v>6.49</v>
      </c>
      <c r="G5" s="130">
        <f>C5*F5</f>
        <v>6.49</v>
      </c>
    </row>
    <row r="6" spans="1:7">
      <c r="A6" s="148"/>
      <c r="B6" s="4" t="s">
        <v>540</v>
      </c>
      <c r="C6" s="124">
        <v>9</v>
      </c>
      <c r="D6" s="122" t="s">
        <v>147</v>
      </c>
      <c r="E6" s="98"/>
      <c r="F6" s="129">
        <v>1.79</v>
      </c>
      <c r="G6" s="130">
        <f>C6*F6</f>
        <v>16.11</v>
      </c>
    </row>
    <row r="7" spans="1:7">
      <c r="A7" s="148"/>
      <c r="B7" s="4" t="s">
        <v>213</v>
      </c>
      <c r="C7" s="124">
        <v>4</v>
      </c>
      <c r="D7" s="122" t="s">
        <v>151</v>
      </c>
      <c r="E7" s="98"/>
      <c r="F7" s="129">
        <v>2.12</v>
      </c>
      <c r="G7" s="130">
        <f>C7*F7</f>
        <v>8.48</v>
      </c>
    </row>
    <row r="8" spans="1:7">
      <c r="A8" s="149"/>
      <c r="B8" s="4" t="s">
        <v>274</v>
      </c>
      <c r="C8" s="124">
        <v>3</v>
      </c>
      <c r="D8" s="122" t="s">
        <v>147</v>
      </c>
      <c r="E8" s="98"/>
      <c r="F8" s="129">
        <v>1.89</v>
      </c>
      <c r="G8" s="130">
        <f>C8*F8</f>
        <v>5.67</v>
      </c>
    </row>
    <row r="9" spans="1:7">
      <c r="A9" s="149"/>
      <c r="B9" s="4" t="s">
        <v>572</v>
      </c>
      <c r="C9" s="124">
        <v>9</v>
      </c>
      <c r="D9" s="122" t="s">
        <v>147</v>
      </c>
      <c r="E9" s="98"/>
      <c r="F9" s="129">
        <v>1.62</v>
      </c>
      <c r="G9" s="130">
        <f>C9*F9</f>
        <v>14.580000000000002</v>
      </c>
    </row>
    <row r="10" spans="1:7">
      <c r="A10" s="149"/>
      <c r="B10" s="4" t="s">
        <v>496</v>
      </c>
      <c r="C10" s="124">
        <v>4</v>
      </c>
      <c r="D10" s="122" t="s">
        <v>147</v>
      </c>
      <c r="E10" s="98"/>
      <c r="F10" s="129">
        <v>1.59</v>
      </c>
      <c r="G10" s="130">
        <f>C10*F10</f>
        <v>6.36</v>
      </c>
    </row>
    <row r="11" spans="1:7">
      <c r="A11" s="149"/>
      <c r="B11" s="4" t="s">
        <v>573</v>
      </c>
      <c r="C11" s="124">
        <v>4</v>
      </c>
      <c r="D11" s="122" t="s">
        <v>147</v>
      </c>
      <c r="E11" s="98"/>
      <c r="F11" s="129">
        <v>1.85</v>
      </c>
      <c r="G11" s="130">
        <f>C11*F11</f>
        <v>7.4</v>
      </c>
    </row>
    <row r="12" spans="1:7">
      <c r="A12" s="149"/>
      <c r="B12" s="4" t="s">
        <v>547</v>
      </c>
      <c r="C12" s="124">
        <v>3</v>
      </c>
      <c r="D12" s="122" t="s">
        <v>147</v>
      </c>
      <c r="E12" s="98"/>
      <c r="F12" s="129">
        <v>1.99</v>
      </c>
      <c r="G12" s="130">
        <f>C12*F12</f>
        <v>5.97</v>
      </c>
    </row>
    <row r="13" spans="1:7">
      <c r="A13" s="149"/>
      <c r="B13" s="4" t="s">
        <v>548</v>
      </c>
      <c r="C13" s="124">
        <v>4</v>
      </c>
      <c r="D13" s="122" t="s">
        <v>147</v>
      </c>
      <c r="E13" s="98"/>
      <c r="F13" s="129">
        <v>1.79</v>
      </c>
      <c r="G13" s="130">
        <f>C13*F13</f>
        <v>7.16</v>
      </c>
    </row>
    <row r="14" spans="1:7">
      <c r="A14" s="149"/>
      <c r="B14" s="4" t="s">
        <v>413</v>
      </c>
      <c r="C14" s="124">
        <v>12</v>
      </c>
      <c r="D14" s="122" t="s">
        <v>147</v>
      </c>
      <c r="E14" s="98"/>
      <c r="F14" s="129">
        <v>1.39</v>
      </c>
      <c r="G14" s="130">
        <f>C14*F14</f>
        <v>16.68</v>
      </c>
    </row>
    <row r="15" spans="1:7">
      <c r="A15" s="149"/>
      <c r="B15" s="4" t="s">
        <v>550</v>
      </c>
      <c r="C15" s="124">
        <v>1</v>
      </c>
      <c r="D15" s="122" t="s">
        <v>374</v>
      </c>
      <c r="E15" s="98"/>
      <c r="F15" s="129">
        <v>14.9</v>
      </c>
      <c r="G15" s="130">
        <f>C15*F15</f>
        <v>14.9</v>
      </c>
    </row>
    <row r="16" spans="1:7">
      <c r="A16" s="149"/>
      <c r="B16" s="4" t="s">
        <v>551</v>
      </c>
      <c r="C16" s="124">
        <v>1</v>
      </c>
      <c r="D16" s="122" t="s">
        <v>374</v>
      </c>
      <c r="E16" s="98"/>
      <c r="F16" s="129">
        <v>14.9</v>
      </c>
      <c r="G16" s="130">
        <f>C16*F16</f>
        <v>14.9</v>
      </c>
    </row>
    <row r="17" spans="1:7">
      <c r="A17" s="149"/>
      <c r="B17" s="4" t="s">
        <v>552</v>
      </c>
      <c r="C17" s="124">
        <v>1</v>
      </c>
      <c r="D17" s="122" t="s">
        <v>374</v>
      </c>
      <c r="E17" s="98"/>
      <c r="F17" s="129">
        <v>14.9</v>
      </c>
      <c r="G17" s="130">
        <f>C17*F17</f>
        <v>14.9</v>
      </c>
    </row>
    <row r="18" spans="1:7">
      <c r="A18" s="149"/>
      <c r="B18" s="4" t="s">
        <v>553</v>
      </c>
      <c r="C18" s="124">
        <v>1</v>
      </c>
      <c r="D18" s="122" t="s">
        <v>374</v>
      </c>
      <c r="E18" s="98"/>
      <c r="F18" s="129">
        <v>14.9</v>
      </c>
      <c r="G18" s="130">
        <f>C18*F18</f>
        <v>14.9</v>
      </c>
    </row>
    <row r="19" spans="1:7">
      <c r="A19" s="149"/>
      <c r="B19" s="150" t="s">
        <v>373</v>
      </c>
      <c r="C19" s="124">
        <v>1</v>
      </c>
      <c r="D19" s="122" t="s">
        <v>138</v>
      </c>
      <c r="E19" s="98" t="s">
        <v>574</v>
      </c>
      <c r="F19" s="129">
        <v>17.440000000000001</v>
      </c>
      <c r="G19" s="130">
        <f>C19*F19</f>
        <v>17.440000000000001</v>
      </c>
    </row>
    <row r="20" spans="1:7">
      <c r="A20" s="149"/>
      <c r="B20" s="150" t="s">
        <v>575</v>
      </c>
      <c r="C20" s="124">
        <v>5</v>
      </c>
      <c r="D20" s="122" t="s">
        <v>102</v>
      </c>
      <c r="E20" s="98"/>
      <c r="F20" s="129">
        <v>0.55000000000000004</v>
      </c>
      <c r="G20" s="130">
        <f>C20*F20</f>
        <v>2.75</v>
      </c>
    </row>
    <row r="21" spans="1:7">
      <c r="A21" s="149"/>
      <c r="B21" s="150" t="s">
        <v>576</v>
      </c>
      <c r="C21" s="124">
        <v>2</v>
      </c>
      <c r="D21" s="122" t="s">
        <v>151</v>
      </c>
      <c r="E21" s="98"/>
      <c r="F21" s="129">
        <v>2.52</v>
      </c>
      <c r="G21" s="130">
        <f>C21*F21</f>
        <v>5.04</v>
      </c>
    </row>
    <row r="22" spans="1:7">
      <c r="A22" s="149"/>
      <c r="B22" s="150" t="s">
        <v>271</v>
      </c>
      <c r="C22" s="124">
        <v>1.5</v>
      </c>
      <c r="D22" s="122" t="s">
        <v>7</v>
      </c>
      <c r="E22" s="98"/>
      <c r="F22" s="129">
        <v>2.79</v>
      </c>
      <c r="G22" s="130">
        <f>C22*F22</f>
        <v>4.1850000000000005</v>
      </c>
    </row>
    <row r="23" spans="1:7">
      <c r="A23" s="149"/>
      <c r="B23" s="151" t="s">
        <v>559</v>
      </c>
      <c r="C23" s="155">
        <v>1</v>
      </c>
      <c r="D23" s="122" t="s">
        <v>7</v>
      </c>
      <c r="E23" s="98"/>
      <c r="F23" s="129">
        <v>2.04</v>
      </c>
      <c r="G23" s="130">
        <f>C23*F23</f>
        <v>2.04</v>
      </c>
    </row>
    <row r="24" spans="1:7">
      <c r="A24" s="149"/>
      <c r="B24" s="174" t="s">
        <v>560</v>
      </c>
      <c r="C24" s="124">
        <v>1</v>
      </c>
      <c r="D24" s="175" t="s">
        <v>7</v>
      </c>
      <c r="E24" s="98"/>
      <c r="F24" s="129">
        <v>3.29</v>
      </c>
      <c r="G24" s="130">
        <f>C24*F24</f>
        <v>3.29</v>
      </c>
    </row>
    <row r="25" spans="1:7">
      <c r="A25" s="149"/>
      <c r="B25" s="151" t="s">
        <v>561</v>
      </c>
      <c r="C25" s="176">
        <v>1</v>
      </c>
      <c r="D25" s="122" t="s">
        <v>151</v>
      </c>
      <c r="E25" s="98"/>
      <c r="F25" s="129">
        <v>2.74</v>
      </c>
      <c r="G25" s="130">
        <f>C25*F25</f>
        <v>2.74</v>
      </c>
    </row>
    <row r="26" spans="1:7">
      <c r="A26" s="153"/>
      <c r="B26" s="154" t="s">
        <v>562</v>
      </c>
      <c r="C26" s="155">
        <v>4</v>
      </c>
      <c r="D26" s="156" t="s">
        <v>7</v>
      </c>
      <c r="E26" s="157"/>
      <c r="F26" s="158">
        <v>2.19</v>
      </c>
      <c r="G26" s="159">
        <f>C26*F26</f>
        <v>8.76</v>
      </c>
    </row>
    <row r="27" spans="1:7">
      <c r="A27" s="27"/>
      <c r="B27" s="156" t="s">
        <v>563</v>
      </c>
      <c r="C27" s="155">
        <v>4</v>
      </c>
      <c r="D27" s="156" t="s">
        <v>7</v>
      </c>
      <c r="E27" s="38"/>
      <c r="F27" s="162">
        <v>1.64</v>
      </c>
      <c r="G27" s="165">
        <f>C27*F27</f>
        <v>6.56</v>
      </c>
    </row>
    <row r="28" spans="1:7">
      <c r="A28" s="4"/>
      <c r="B28" s="4" t="s">
        <v>577</v>
      </c>
      <c r="C28" s="169">
        <v>3</v>
      </c>
      <c r="D28" s="4" t="s">
        <v>151</v>
      </c>
      <c r="E28" s="168" t="s">
        <v>509</v>
      </c>
      <c r="F28" s="163">
        <v>2.34</v>
      </c>
      <c r="G28" s="166">
        <f>C28*F28</f>
        <v>7.02</v>
      </c>
    </row>
    <row r="29" spans="1:7">
      <c r="A29" s="4"/>
      <c r="B29" s="4" t="s">
        <v>565</v>
      </c>
      <c r="C29" s="169">
        <v>1</v>
      </c>
      <c r="D29" s="4" t="s">
        <v>151</v>
      </c>
      <c r="E29" s="168" t="s">
        <v>566</v>
      </c>
      <c r="F29" s="163">
        <v>1.86</v>
      </c>
      <c r="G29" s="166">
        <f>C29*F29</f>
        <v>1.86</v>
      </c>
    </row>
    <row r="30" spans="1:7">
      <c r="A30" s="4"/>
      <c r="B30" s="4" t="s">
        <v>567</v>
      </c>
      <c r="C30" s="169">
        <v>1</v>
      </c>
      <c r="D30" s="4" t="s">
        <v>7</v>
      </c>
      <c r="E30" s="168"/>
      <c r="F30" s="163">
        <v>2.41</v>
      </c>
      <c r="G30" s="166">
        <f>C30*F30</f>
        <v>2.41</v>
      </c>
    </row>
    <row r="31" spans="1:7">
      <c r="A31" s="4"/>
      <c r="B31" s="4" t="s">
        <v>530</v>
      </c>
      <c r="C31" s="169">
        <v>1</v>
      </c>
      <c r="D31" s="4" t="s">
        <v>7</v>
      </c>
      <c r="E31" s="168"/>
      <c r="F31" s="163">
        <v>1.97</v>
      </c>
      <c r="G31" s="166">
        <f>C31*F31</f>
        <v>1.97</v>
      </c>
    </row>
    <row r="32" spans="1:7">
      <c r="A32" s="4"/>
      <c r="B32" s="4" t="s">
        <v>568</v>
      </c>
      <c r="C32" s="169">
        <v>4</v>
      </c>
      <c r="D32" s="4" t="s">
        <v>217</v>
      </c>
      <c r="E32" s="168"/>
      <c r="F32" s="163">
        <v>1.49</v>
      </c>
      <c r="G32" s="166">
        <f>C32*F32</f>
        <v>5.96</v>
      </c>
    </row>
    <row r="33" spans="1:7">
      <c r="A33" s="27"/>
      <c r="B33" s="27" t="s">
        <v>569</v>
      </c>
      <c r="C33" s="170">
        <v>1</v>
      </c>
      <c r="D33" s="27" t="s">
        <v>217</v>
      </c>
      <c r="E33" s="171"/>
      <c r="F33" s="164">
        <v>1.49</v>
      </c>
      <c r="G33" s="167">
        <f>C33*F33</f>
        <v>1.49</v>
      </c>
    </row>
    <row r="34" spans="1:7">
      <c r="A34" s="4"/>
      <c r="B34" s="122" t="s">
        <v>570</v>
      </c>
      <c r="C34" s="152">
        <v>10</v>
      </c>
      <c r="D34" s="122" t="s">
        <v>217</v>
      </c>
      <c r="E34" s="4"/>
      <c r="F34" s="172">
        <v>0.28999999999999998</v>
      </c>
      <c r="G34" s="173">
        <f>F34*C34</f>
        <v>2.9</v>
      </c>
    </row>
    <row r="35" spans="1:7">
      <c r="A35" s="4"/>
      <c r="B35" s="122" t="s">
        <v>571</v>
      </c>
      <c r="C35" s="152">
        <v>15</v>
      </c>
      <c r="D35" s="122"/>
      <c r="E35" s="4"/>
      <c r="F35" s="172">
        <v>0.55000000000000004</v>
      </c>
      <c r="G35" s="173">
        <f>F35*C35</f>
        <v>8.25</v>
      </c>
    </row>
    <row r="36" spans="1:7">
      <c r="B36" s="120"/>
      <c r="C36" s="125"/>
      <c r="D36" s="120"/>
      <c r="F36" s="160" t="s">
        <v>311</v>
      </c>
      <c r="G36" s="161">
        <f>SUM(G2:G35)</f>
        <v>262.91500000000008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07B3-ED3E-4ADF-A05C-FD6F09B1DEF0}">
  <dimension ref="A1:L38"/>
  <sheetViews>
    <sheetView topLeftCell="A13" workbookViewId="0">
      <selection activeCell="B24" sqref="B24"/>
    </sheetView>
  </sheetViews>
  <sheetFormatPr defaultRowHeight="15"/>
  <cols>
    <col min="1" max="1" width="16.42578125" bestFit="1" customWidth="1"/>
    <col min="2" max="2" width="40.5703125" customWidth="1"/>
    <col min="3" max="3" width="18.85546875" bestFit="1" customWidth="1"/>
    <col min="4" max="4" width="6.5703125" bestFit="1" customWidth="1"/>
    <col min="5" max="5" width="15.140625" bestFit="1" customWidth="1"/>
    <col min="6" max="6" width="12" customWidth="1"/>
    <col min="7" max="7" width="13.42578125" customWidth="1"/>
  </cols>
  <sheetData>
    <row r="1" spans="1:12" ht="21">
      <c r="A1" s="145" t="s">
        <v>92</v>
      </c>
      <c r="B1" s="117" t="s">
        <v>93</v>
      </c>
      <c r="C1" s="146" t="s">
        <v>348</v>
      </c>
      <c r="D1" s="117" t="s">
        <v>98</v>
      </c>
      <c r="E1" s="83" t="s">
        <v>96</v>
      </c>
      <c r="F1" s="147" t="s">
        <v>423</v>
      </c>
      <c r="G1" s="147" t="s">
        <v>100</v>
      </c>
    </row>
    <row r="2" spans="1:12">
      <c r="A2" s="148"/>
      <c r="B2" s="4" t="s">
        <v>578</v>
      </c>
      <c r="C2" s="124">
        <v>6</v>
      </c>
      <c r="D2" s="122" t="s">
        <v>151</v>
      </c>
      <c r="E2" s="98"/>
      <c r="F2" s="129">
        <v>2.06</v>
      </c>
      <c r="G2" s="130">
        <f>C2*F2</f>
        <v>12.36</v>
      </c>
    </row>
    <row r="3" spans="1:12">
      <c r="A3" s="148"/>
      <c r="B3" s="4" t="s">
        <v>536</v>
      </c>
      <c r="C3" s="124">
        <v>2</v>
      </c>
      <c r="D3" s="122" t="s">
        <v>151</v>
      </c>
      <c r="E3" s="98" t="s">
        <v>377</v>
      </c>
      <c r="F3" s="129">
        <v>1.81</v>
      </c>
      <c r="G3" s="130">
        <f>C3*F3</f>
        <v>3.62</v>
      </c>
    </row>
    <row r="4" spans="1:12">
      <c r="A4" s="148"/>
      <c r="B4" s="4" t="s">
        <v>537</v>
      </c>
      <c r="C4" s="124">
        <v>1</v>
      </c>
      <c r="D4" s="122" t="s">
        <v>7</v>
      </c>
      <c r="E4" s="98"/>
      <c r="F4" s="129">
        <v>11.54</v>
      </c>
      <c r="G4" s="130">
        <f>C4*F4</f>
        <v>11.54</v>
      </c>
    </row>
    <row r="5" spans="1:12">
      <c r="A5" s="148"/>
      <c r="B5" s="4" t="s">
        <v>538</v>
      </c>
      <c r="C5" s="124">
        <v>1</v>
      </c>
      <c r="D5" s="122" t="s">
        <v>324</v>
      </c>
      <c r="E5" s="98" t="s">
        <v>539</v>
      </c>
      <c r="F5" s="129">
        <v>6.49</v>
      </c>
      <c r="G5" s="130">
        <f>C5*F5</f>
        <v>6.49</v>
      </c>
    </row>
    <row r="6" spans="1:12">
      <c r="A6" s="148"/>
      <c r="B6" s="4" t="s">
        <v>540</v>
      </c>
      <c r="C6" s="124">
        <v>3</v>
      </c>
      <c r="D6" s="122" t="s">
        <v>147</v>
      </c>
      <c r="E6" s="98"/>
      <c r="F6" s="129">
        <v>1.79</v>
      </c>
      <c r="G6" s="130">
        <f>C6*F6</f>
        <v>5.37</v>
      </c>
    </row>
    <row r="7" spans="1:12">
      <c r="A7" s="148"/>
      <c r="B7" s="4" t="s">
        <v>213</v>
      </c>
      <c r="C7" s="124">
        <v>4</v>
      </c>
      <c r="D7" s="122" t="s">
        <v>151</v>
      </c>
      <c r="E7" s="98"/>
      <c r="F7" s="129">
        <v>2.12</v>
      </c>
      <c r="G7" s="130">
        <f>C7*F7</f>
        <v>8.48</v>
      </c>
    </row>
    <row r="8" spans="1:12">
      <c r="A8" s="148"/>
      <c r="B8" s="4" t="s">
        <v>352</v>
      </c>
      <c r="C8" s="124">
        <v>1</v>
      </c>
      <c r="D8" s="122" t="s">
        <v>7</v>
      </c>
      <c r="E8" s="98"/>
      <c r="F8" s="129">
        <v>17.440000000000001</v>
      </c>
      <c r="G8" s="130">
        <f>C8*F8</f>
        <v>17.440000000000001</v>
      </c>
      <c r="L8" t="s">
        <v>579</v>
      </c>
    </row>
    <row r="9" spans="1:12">
      <c r="A9" s="148"/>
      <c r="B9" s="4" t="s">
        <v>400</v>
      </c>
      <c r="C9" s="124">
        <v>1</v>
      </c>
      <c r="D9" s="122" t="s">
        <v>138</v>
      </c>
      <c r="E9" s="98" t="s">
        <v>580</v>
      </c>
      <c r="F9" s="129">
        <v>14.9</v>
      </c>
      <c r="G9" s="130">
        <f>C9*F9</f>
        <v>14.9</v>
      </c>
    </row>
    <row r="10" spans="1:12">
      <c r="A10" s="149"/>
      <c r="B10" s="4" t="s">
        <v>274</v>
      </c>
      <c r="C10" s="124">
        <v>8</v>
      </c>
      <c r="D10" s="122" t="s">
        <v>147</v>
      </c>
      <c r="E10" s="98"/>
      <c r="F10" s="129">
        <v>1.89</v>
      </c>
      <c r="G10" s="130">
        <f>C10*F10</f>
        <v>15.12</v>
      </c>
    </row>
    <row r="11" spans="1:12">
      <c r="A11" s="149"/>
      <c r="B11" s="4" t="s">
        <v>581</v>
      </c>
      <c r="C11" s="124">
        <v>8</v>
      </c>
      <c r="D11" s="122" t="s">
        <v>147</v>
      </c>
      <c r="E11" s="98"/>
      <c r="F11" s="129">
        <v>1.99</v>
      </c>
      <c r="G11" s="130">
        <f>C11*F11</f>
        <v>15.92</v>
      </c>
    </row>
    <row r="12" spans="1:12">
      <c r="A12" s="149"/>
      <c r="B12" s="4" t="s">
        <v>572</v>
      </c>
      <c r="C12" s="124">
        <v>3</v>
      </c>
      <c r="D12" s="122" t="s">
        <v>147</v>
      </c>
      <c r="E12" s="98"/>
      <c r="F12" s="129">
        <v>1.62</v>
      </c>
      <c r="G12" s="130">
        <f>C12*F12</f>
        <v>4.8600000000000003</v>
      </c>
    </row>
    <row r="13" spans="1:12">
      <c r="A13" s="149"/>
      <c r="B13" s="4" t="s">
        <v>496</v>
      </c>
      <c r="C13" s="124">
        <v>6</v>
      </c>
      <c r="D13" s="122" t="s">
        <v>147</v>
      </c>
      <c r="E13" s="98"/>
      <c r="F13" s="129">
        <v>1.59</v>
      </c>
      <c r="G13" s="130">
        <f>C13*F13</f>
        <v>9.5400000000000009</v>
      </c>
    </row>
    <row r="14" spans="1:12">
      <c r="A14" s="149"/>
      <c r="B14" s="4" t="s">
        <v>573</v>
      </c>
      <c r="C14" s="124">
        <v>4</v>
      </c>
      <c r="D14" s="122" t="s">
        <v>147</v>
      </c>
      <c r="E14" s="98"/>
      <c r="F14" s="129">
        <v>1.85</v>
      </c>
      <c r="G14" s="130">
        <f>C14*F14</f>
        <v>7.4</v>
      </c>
    </row>
    <row r="15" spans="1:12">
      <c r="A15" s="149"/>
      <c r="B15" s="4" t="s">
        <v>547</v>
      </c>
      <c r="C15" s="124">
        <v>3</v>
      </c>
      <c r="D15" s="122" t="s">
        <v>147</v>
      </c>
      <c r="E15" s="98"/>
      <c r="F15" s="129">
        <v>1.99</v>
      </c>
      <c r="G15" s="130">
        <f>C15*F15</f>
        <v>5.97</v>
      </c>
    </row>
    <row r="16" spans="1:12">
      <c r="A16" s="149"/>
      <c r="B16" s="4" t="s">
        <v>548</v>
      </c>
      <c r="C16" s="124">
        <v>3</v>
      </c>
      <c r="D16" s="122" t="s">
        <v>147</v>
      </c>
      <c r="E16" s="98"/>
      <c r="F16" s="129">
        <v>1.79</v>
      </c>
      <c r="G16" s="130">
        <f>C16*F16</f>
        <v>5.37</v>
      </c>
    </row>
    <row r="17" spans="1:7">
      <c r="A17" s="149"/>
      <c r="B17" s="4" t="s">
        <v>409</v>
      </c>
      <c r="C17" s="124">
        <v>0.5</v>
      </c>
      <c r="D17" s="122" t="s">
        <v>7</v>
      </c>
      <c r="E17" s="98"/>
      <c r="F17" s="129">
        <v>2.42</v>
      </c>
      <c r="G17" s="130">
        <f>C17*F17</f>
        <v>1.21</v>
      </c>
    </row>
    <row r="18" spans="1:7">
      <c r="A18" s="149"/>
      <c r="B18" s="4" t="s">
        <v>550</v>
      </c>
      <c r="C18" s="124">
        <v>1</v>
      </c>
      <c r="D18" s="122" t="s">
        <v>374</v>
      </c>
      <c r="E18" s="98"/>
      <c r="F18" s="129">
        <v>14.9</v>
      </c>
      <c r="G18" s="130">
        <f>C18*F18</f>
        <v>14.9</v>
      </c>
    </row>
    <row r="19" spans="1:7">
      <c r="A19" s="149"/>
      <c r="B19" s="4" t="s">
        <v>551</v>
      </c>
      <c r="C19" s="124">
        <v>1</v>
      </c>
      <c r="D19" s="122" t="s">
        <v>374</v>
      </c>
      <c r="E19" s="98"/>
      <c r="F19" s="129">
        <v>14.9</v>
      </c>
      <c r="G19" s="130">
        <f>C19*F19</f>
        <v>14.9</v>
      </c>
    </row>
    <row r="20" spans="1:7">
      <c r="A20" s="149"/>
      <c r="B20" s="4" t="s">
        <v>552</v>
      </c>
      <c r="C20" s="124">
        <v>1</v>
      </c>
      <c r="D20" s="122" t="s">
        <v>374</v>
      </c>
      <c r="E20" s="98"/>
      <c r="F20" s="129">
        <v>14.9</v>
      </c>
      <c r="G20" s="130">
        <f>C20*F20</f>
        <v>14.9</v>
      </c>
    </row>
    <row r="21" spans="1:7">
      <c r="A21" s="149"/>
      <c r="B21" s="4" t="s">
        <v>553</v>
      </c>
      <c r="C21" s="124">
        <v>1</v>
      </c>
      <c r="D21" s="122" t="s">
        <v>374</v>
      </c>
      <c r="E21" s="98"/>
      <c r="F21" s="129">
        <v>14.9</v>
      </c>
      <c r="G21" s="130">
        <f>C21*F21</f>
        <v>14.9</v>
      </c>
    </row>
    <row r="22" spans="1:7">
      <c r="A22" s="149"/>
      <c r="B22" s="150" t="s">
        <v>582</v>
      </c>
      <c r="C22" s="124">
        <v>2</v>
      </c>
      <c r="D22" s="122" t="s">
        <v>151</v>
      </c>
      <c r="E22" s="98" t="s">
        <v>583</v>
      </c>
      <c r="F22" s="129">
        <v>2.86</v>
      </c>
      <c r="G22" s="130">
        <f>C22*F22</f>
        <v>5.72</v>
      </c>
    </row>
    <row r="23" spans="1:7">
      <c r="A23" s="149"/>
      <c r="B23" s="150" t="s">
        <v>584</v>
      </c>
      <c r="C23" s="124">
        <v>4</v>
      </c>
      <c r="D23" s="122" t="s">
        <v>102</v>
      </c>
      <c r="E23" s="98"/>
      <c r="F23" s="129">
        <v>0.55000000000000004</v>
      </c>
      <c r="G23" s="130">
        <f>C23*F23</f>
        <v>2.2000000000000002</v>
      </c>
    </row>
    <row r="24" spans="1:7">
      <c r="A24" s="149"/>
      <c r="B24" s="150" t="s">
        <v>576</v>
      </c>
      <c r="C24" s="124">
        <v>1</v>
      </c>
      <c r="D24" s="122" t="s">
        <v>151</v>
      </c>
      <c r="E24" s="98" t="s">
        <v>110</v>
      </c>
      <c r="F24" s="129">
        <v>2.52</v>
      </c>
      <c r="G24" s="130">
        <f>C24*F24</f>
        <v>2.52</v>
      </c>
    </row>
    <row r="25" spans="1:7">
      <c r="A25" s="149"/>
      <c r="B25" s="150" t="s">
        <v>271</v>
      </c>
      <c r="C25" s="124">
        <v>4</v>
      </c>
      <c r="D25" s="122" t="s">
        <v>7</v>
      </c>
      <c r="E25" s="98"/>
      <c r="F25" s="129">
        <v>1.79</v>
      </c>
      <c r="G25" s="130">
        <f>C25*F25</f>
        <v>7.16</v>
      </c>
    </row>
    <row r="26" spans="1:7">
      <c r="A26" s="149"/>
      <c r="B26" s="151" t="s">
        <v>559</v>
      </c>
      <c r="C26" s="155">
        <v>2</v>
      </c>
      <c r="D26" s="122" t="s">
        <v>7</v>
      </c>
      <c r="E26" s="98"/>
      <c r="F26" s="129">
        <v>2.04</v>
      </c>
      <c r="G26" s="130">
        <f>C26*F26</f>
        <v>4.08</v>
      </c>
    </row>
    <row r="27" spans="1:7">
      <c r="A27" s="149"/>
      <c r="B27" s="174" t="s">
        <v>560</v>
      </c>
      <c r="C27" s="124">
        <v>3</v>
      </c>
      <c r="D27" s="175" t="s">
        <v>7</v>
      </c>
      <c r="E27" s="98"/>
      <c r="F27" s="129">
        <v>4.2</v>
      </c>
      <c r="G27" s="130">
        <f>C27*F27</f>
        <v>12.600000000000001</v>
      </c>
    </row>
    <row r="28" spans="1:7">
      <c r="A28" s="153"/>
      <c r="B28" s="154" t="s">
        <v>562</v>
      </c>
      <c r="C28" s="155">
        <v>4</v>
      </c>
      <c r="D28" s="156" t="s">
        <v>7</v>
      </c>
      <c r="E28" s="157"/>
      <c r="F28" s="158">
        <v>1.62</v>
      </c>
      <c r="G28" s="159">
        <f>C28*F28</f>
        <v>6.48</v>
      </c>
    </row>
    <row r="29" spans="1:7">
      <c r="A29" s="27"/>
      <c r="B29" s="156" t="s">
        <v>563</v>
      </c>
      <c r="C29" s="155">
        <v>3</v>
      </c>
      <c r="D29" s="156" t="s">
        <v>7</v>
      </c>
      <c r="E29" s="38"/>
      <c r="F29" s="162">
        <v>1.62</v>
      </c>
      <c r="G29" s="165">
        <f>C29*F29</f>
        <v>4.8600000000000003</v>
      </c>
    </row>
    <row r="30" spans="1:7">
      <c r="A30" s="4"/>
      <c r="B30" s="4" t="s">
        <v>577</v>
      </c>
      <c r="C30" s="169">
        <v>3</v>
      </c>
      <c r="D30" s="4" t="s">
        <v>151</v>
      </c>
      <c r="E30" s="168" t="s">
        <v>509</v>
      </c>
      <c r="F30" s="163">
        <v>2.34</v>
      </c>
      <c r="G30" s="166">
        <f>C30*F30</f>
        <v>7.02</v>
      </c>
    </row>
    <row r="31" spans="1:7">
      <c r="A31" s="4"/>
      <c r="B31" s="4" t="s">
        <v>565</v>
      </c>
      <c r="C31" s="169">
        <v>3</v>
      </c>
      <c r="D31" s="4" t="s">
        <v>151</v>
      </c>
      <c r="E31" s="168" t="s">
        <v>566</v>
      </c>
      <c r="F31" s="163">
        <v>1.86</v>
      </c>
      <c r="G31" s="166">
        <f>C31*F31</f>
        <v>5.58</v>
      </c>
    </row>
    <row r="32" spans="1:7">
      <c r="A32" s="4"/>
      <c r="B32" s="4" t="s">
        <v>567</v>
      </c>
      <c r="C32" s="169">
        <v>3</v>
      </c>
      <c r="D32" s="4" t="s">
        <v>194</v>
      </c>
      <c r="E32" s="168" t="s">
        <v>158</v>
      </c>
      <c r="F32" s="163">
        <v>4.9400000000000004</v>
      </c>
      <c r="G32" s="166">
        <f>C32*F32</f>
        <v>14.82</v>
      </c>
    </row>
    <row r="33" spans="1:7">
      <c r="A33" s="4"/>
      <c r="B33" s="4" t="s">
        <v>530</v>
      </c>
      <c r="C33" s="169">
        <v>2</v>
      </c>
      <c r="D33" s="4" t="s">
        <v>7</v>
      </c>
      <c r="E33" s="168"/>
      <c r="F33" s="163">
        <v>2.34</v>
      </c>
      <c r="G33" s="166">
        <f>C33*F33</f>
        <v>4.68</v>
      </c>
    </row>
    <row r="34" spans="1:7">
      <c r="A34" s="4"/>
      <c r="B34" s="4" t="s">
        <v>585</v>
      </c>
      <c r="C34" s="169">
        <v>4</v>
      </c>
      <c r="D34" s="4" t="s">
        <v>217</v>
      </c>
      <c r="E34" s="168"/>
      <c r="F34" s="163">
        <v>1.49</v>
      </c>
      <c r="G34" s="166">
        <f>C34*F34</f>
        <v>5.96</v>
      </c>
    </row>
    <row r="35" spans="1:7">
      <c r="A35" s="27"/>
      <c r="B35" s="27" t="s">
        <v>586</v>
      </c>
      <c r="C35" s="170">
        <v>6</v>
      </c>
      <c r="D35" s="27" t="s">
        <v>217</v>
      </c>
      <c r="E35" s="171"/>
      <c r="F35" s="164">
        <v>1.49</v>
      </c>
      <c r="G35" s="167">
        <f>C35*F35</f>
        <v>8.94</v>
      </c>
    </row>
    <row r="36" spans="1:7">
      <c r="A36" s="4"/>
      <c r="B36" s="122" t="s">
        <v>570</v>
      </c>
      <c r="C36" s="152">
        <v>12</v>
      </c>
      <c r="D36" s="122" t="s">
        <v>217</v>
      </c>
      <c r="E36" s="4"/>
      <c r="F36" s="172">
        <v>0.28999999999999998</v>
      </c>
      <c r="G36" s="173">
        <f>F36*C36</f>
        <v>3.4799999999999995</v>
      </c>
    </row>
    <row r="37" spans="1:7">
      <c r="A37" s="4"/>
      <c r="B37" s="122" t="s">
        <v>571</v>
      </c>
      <c r="C37" s="152">
        <v>16</v>
      </c>
      <c r="D37" s="122" t="s">
        <v>217</v>
      </c>
      <c r="E37" s="4"/>
      <c r="F37" s="172">
        <v>0.55000000000000004</v>
      </c>
      <c r="G37" s="173">
        <f>F37*C37</f>
        <v>8.8000000000000007</v>
      </c>
    </row>
    <row r="38" spans="1:7">
      <c r="B38" s="120"/>
      <c r="C38" s="125"/>
      <c r="D38" s="120"/>
      <c r="F38" s="160" t="s">
        <v>311</v>
      </c>
      <c r="G38" s="161">
        <f>SUM(G2:G37)</f>
        <v>310.09000000000003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E41D-9E7D-4FF5-B771-9EC8468C6D57}">
  <dimension ref="A1:G27"/>
  <sheetViews>
    <sheetView workbookViewId="0">
      <selection activeCell="B17" sqref="B17"/>
    </sheetView>
  </sheetViews>
  <sheetFormatPr defaultRowHeight="15"/>
  <cols>
    <col min="1" max="1" width="16.42578125" bestFit="1" customWidth="1"/>
    <col min="2" max="2" width="38" customWidth="1"/>
    <col min="3" max="3" width="18.85546875" bestFit="1" customWidth="1"/>
    <col min="4" max="4" width="6.5703125" bestFit="1" customWidth="1"/>
    <col min="5" max="5" width="15.140625" bestFit="1" customWidth="1"/>
    <col min="6" max="6" width="14.5703125" bestFit="1" customWidth="1"/>
    <col min="7" max="7" width="9.42578125" bestFit="1" customWidth="1"/>
    <col min="12" max="12" width="67.7109375" customWidth="1"/>
  </cols>
  <sheetData>
    <row r="1" spans="1:7" ht="21">
      <c r="A1" s="145" t="s">
        <v>92</v>
      </c>
      <c r="B1" s="117" t="s">
        <v>93</v>
      </c>
      <c r="C1" s="146" t="s">
        <v>348</v>
      </c>
      <c r="D1" s="117" t="s">
        <v>98</v>
      </c>
      <c r="E1" s="83" t="s">
        <v>96</v>
      </c>
      <c r="F1" s="147" t="s">
        <v>423</v>
      </c>
      <c r="G1" s="147" t="s">
        <v>100</v>
      </c>
    </row>
    <row r="2" spans="1:7">
      <c r="A2" s="148"/>
      <c r="B2" t="s">
        <v>587</v>
      </c>
      <c r="C2" s="124">
        <v>1</v>
      </c>
      <c r="D2" s="122" t="s">
        <v>151</v>
      </c>
      <c r="E2" s="98"/>
      <c r="F2" s="129">
        <v>10.69</v>
      </c>
      <c r="G2" s="130">
        <f>C2*F2</f>
        <v>10.69</v>
      </c>
    </row>
    <row r="3" spans="1:7">
      <c r="A3" s="148"/>
      <c r="B3" s="4" t="s">
        <v>588</v>
      </c>
      <c r="C3" s="124">
        <v>1</v>
      </c>
      <c r="D3" s="122" t="s">
        <v>589</v>
      </c>
      <c r="E3" s="98"/>
      <c r="F3" s="129">
        <v>26.71</v>
      </c>
      <c r="G3" s="130">
        <f>C3*F3</f>
        <v>26.71</v>
      </c>
    </row>
    <row r="4" spans="1:7">
      <c r="A4" s="148"/>
      <c r="B4" s="4" t="s">
        <v>213</v>
      </c>
      <c r="C4" s="124">
        <v>4</v>
      </c>
      <c r="D4" s="122" t="s">
        <v>151</v>
      </c>
      <c r="E4" s="98"/>
      <c r="F4" s="129">
        <v>2.12</v>
      </c>
      <c r="G4" s="130">
        <f>C4*F4</f>
        <v>8.48</v>
      </c>
    </row>
    <row r="5" spans="1:7">
      <c r="A5" s="148"/>
      <c r="B5" s="4" t="s">
        <v>590</v>
      </c>
      <c r="C5" s="124">
        <v>1</v>
      </c>
      <c r="D5" s="122" t="s">
        <v>374</v>
      </c>
      <c r="E5" s="98"/>
      <c r="F5" s="129">
        <v>14.9</v>
      </c>
      <c r="G5" s="130">
        <f>C5*F5</f>
        <v>14.9</v>
      </c>
    </row>
    <row r="6" spans="1:7">
      <c r="A6" s="148"/>
      <c r="B6" s="4" t="s">
        <v>400</v>
      </c>
      <c r="C6" s="124">
        <v>1</v>
      </c>
      <c r="D6" s="122" t="s">
        <v>138</v>
      </c>
      <c r="E6" s="98" t="s">
        <v>580</v>
      </c>
      <c r="F6" s="129">
        <v>14.9</v>
      </c>
      <c r="G6" s="130">
        <f>C6*F6</f>
        <v>14.9</v>
      </c>
    </row>
    <row r="7" spans="1:7">
      <c r="A7" s="149"/>
      <c r="B7" s="4" t="s">
        <v>274</v>
      </c>
      <c r="C7" s="124">
        <v>4</v>
      </c>
      <c r="D7" s="122" t="s">
        <v>147</v>
      </c>
      <c r="E7" s="98"/>
      <c r="F7" s="129">
        <v>1.89</v>
      </c>
      <c r="G7" s="130">
        <f>C7*F7</f>
        <v>7.56</v>
      </c>
    </row>
    <row r="8" spans="1:7">
      <c r="A8" s="149"/>
      <c r="B8" s="4" t="s">
        <v>581</v>
      </c>
      <c r="C8" s="124">
        <v>4</v>
      </c>
      <c r="D8" s="122" t="s">
        <v>147</v>
      </c>
      <c r="E8" s="98"/>
      <c r="F8" s="129">
        <v>1.99</v>
      </c>
      <c r="G8" s="130">
        <f>C8*F8</f>
        <v>7.96</v>
      </c>
    </row>
    <row r="9" spans="1:7">
      <c r="A9" s="149"/>
      <c r="B9" s="4" t="s">
        <v>572</v>
      </c>
      <c r="C9" s="124">
        <v>9</v>
      </c>
      <c r="D9" s="122" t="s">
        <v>147</v>
      </c>
      <c r="E9" s="98"/>
      <c r="F9" s="129">
        <v>1.62</v>
      </c>
      <c r="G9" s="130">
        <f>C9*F9</f>
        <v>14.580000000000002</v>
      </c>
    </row>
    <row r="10" spans="1:7">
      <c r="A10" s="149"/>
      <c r="B10" s="4" t="s">
        <v>496</v>
      </c>
      <c r="C10" s="124">
        <v>4</v>
      </c>
      <c r="D10" s="122" t="s">
        <v>147</v>
      </c>
      <c r="E10" s="98"/>
      <c r="F10" s="129">
        <v>1.59</v>
      </c>
      <c r="G10" s="130">
        <f>C10*F10</f>
        <v>6.36</v>
      </c>
    </row>
    <row r="11" spans="1:7">
      <c r="A11" s="149"/>
      <c r="B11" s="4" t="s">
        <v>573</v>
      </c>
      <c r="C11" s="124">
        <v>4</v>
      </c>
      <c r="D11" s="122" t="s">
        <v>147</v>
      </c>
      <c r="E11" s="98"/>
      <c r="F11" s="129">
        <v>1.85</v>
      </c>
      <c r="G11" s="130">
        <f>C11*F11</f>
        <v>7.4</v>
      </c>
    </row>
    <row r="12" spans="1:7">
      <c r="A12" s="149"/>
      <c r="B12" s="4" t="s">
        <v>548</v>
      </c>
      <c r="C12" s="124">
        <v>4</v>
      </c>
      <c r="D12" s="122" t="s">
        <v>147</v>
      </c>
      <c r="E12" s="98"/>
      <c r="F12" s="129">
        <v>1.79</v>
      </c>
      <c r="G12" s="130">
        <f>C12*F12</f>
        <v>7.16</v>
      </c>
    </row>
    <row r="13" spans="1:7">
      <c r="A13" s="149"/>
      <c r="B13" s="4" t="s">
        <v>550</v>
      </c>
      <c r="C13" s="124">
        <v>1</v>
      </c>
      <c r="D13" s="122" t="s">
        <v>374</v>
      </c>
      <c r="E13" s="98"/>
      <c r="F13" s="129">
        <v>14.9</v>
      </c>
      <c r="G13" s="130">
        <f>C13*F13</f>
        <v>14.9</v>
      </c>
    </row>
    <row r="14" spans="1:7">
      <c r="A14" s="149"/>
      <c r="B14" s="4" t="s">
        <v>591</v>
      </c>
      <c r="C14" s="124">
        <v>1</v>
      </c>
      <c r="D14" s="122" t="s">
        <v>374</v>
      </c>
      <c r="E14" s="98"/>
      <c r="F14" s="129">
        <v>14.9</v>
      </c>
      <c r="G14" s="130">
        <f>C14*F14</f>
        <v>14.9</v>
      </c>
    </row>
    <row r="15" spans="1:7">
      <c r="A15" s="149"/>
      <c r="B15" s="4" t="s">
        <v>553</v>
      </c>
      <c r="C15" s="124">
        <v>1</v>
      </c>
      <c r="D15" s="122" t="s">
        <v>374</v>
      </c>
      <c r="E15" s="98"/>
      <c r="F15" s="129">
        <v>14.9</v>
      </c>
      <c r="G15" s="130">
        <f>C15*F15</f>
        <v>14.9</v>
      </c>
    </row>
    <row r="16" spans="1:7">
      <c r="A16" s="149"/>
      <c r="B16" s="150" t="s">
        <v>584</v>
      </c>
      <c r="C16" s="124">
        <v>5</v>
      </c>
      <c r="D16" s="122" t="s">
        <v>102</v>
      </c>
      <c r="E16" s="98"/>
      <c r="F16" s="129">
        <v>0.55000000000000004</v>
      </c>
      <c r="G16" s="130">
        <f>C16*F16</f>
        <v>2.75</v>
      </c>
    </row>
    <row r="17" spans="1:7">
      <c r="A17" s="149"/>
      <c r="B17" s="150" t="s">
        <v>592</v>
      </c>
      <c r="C17" s="124">
        <v>2</v>
      </c>
      <c r="D17" s="122" t="s">
        <v>151</v>
      </c>
      <c r="E17" s="98"/>
      <c r="F17" s="129">
        <v>2.86</v>
      </c>
      <c r="G17" s="130">
        <f>C17*F17</f>
        <v>5.72</v>
      </c>
    </row>
    <row r="18" spans="1:7">
      <c r="A18" s="149"/>
      <c r="B18" s="150" t="s">
        <v>593</v>
      </c>
      <c r="C18" s="124">
        <v>2</v>
      </c>
      <c r="D18" s="122" t="s">
        <v>151</v>
      </c>
      <c r="E18" s="98"/>
      <c r="F18" s="129">
        <v>2.86</v>
      </c>
      <c r="G18" s="130">
        <f>F18*C18</f>
        <v>5.72</v>
      </c>
    </row>
    <row r="19" spans="1:7">
      <c r="A19" s="149"/>
      <c r="B19" s="150" t="s">
        <v>594</v>
      </c>
      <c r="C19" s="124">
        <v>2</v>
      </c>
      <c r="D19" s="122" t="s">
        <v>151</v>
      </c>
      <c r="E19" s="98"/>
      <c r="F19" s="129">
        <v>2.86</v>
      </c>
      <c r="G19" s="130">
        <f>C19*F19</f>
        <v>5.72</v>
      </c>
    </row>
    <row r="20" spans="1:7">
      <c r="A20" s="149"/>
      <c r="B20" s="151" t="s">
        <v>559</v>
      </c>
      <c r="C20" s="155">
        <v>1</v>
      </c>
      <c r="D20" s="122" t="s">
        <v>7</v>
      </c>
      <c r="E20" s="98"/>
      <c r="F20" s="129">
        <v>2.04</v>
      </c>
      <c r="G20" s="130">
        <f>C20*F20</f>
        <v>2.04</v>
      </c>
    </row>
    <row r="21" spans="1:7">
      <c r="A21" s="153"/>
      <c r="B21" s="154" t="s">
        <v>562</v>
      </c>
      <c r="C21" s="155">
        <v>4</v>
      </c>
      <c r="D21" s="156" t="s">
        <v>7</v>
      </c>
      <c r="E21" s="157"/>
      <c r="F21" s="158">
        <v>1.62</v>
      </c>
      <c r="G21" s="159">
        <f>C21*F21</f>
        <v>6.48</v>
      </c>
    </row>
    <row r="22" spans="1:7">
      <c r="A22" s="27"/>
      <c r="B22" s="156" t="s">
        <v>563</v>
      </c>
      <c r="C22" s="155">
        <v>3</v>
      </c>
      <c r="D22" s="156" t="s">
        <v>7</v>
      </c>
      <c r="E22" s="38"/>
      <c r="F22" s="162">
        <v>1.62</v>
      </c>
      <c r="G22" s="165">
        <f>C22*F22</f>
        <v>4.8600000000000003</v>
      </c>
    </row>
    <row r="23" spans="1:7">
      <c r="A23" s="4"/>
      <c r="B23" s="4" t="s">
        <v>567</v>
      </c>
      <c r="C23" s="169">
        <v>0.5</v>
      </c>
      <c r="D23" s="4" t="s">
        <v>194</v>
      </c>
      <c r="E23" s="168" t="s">
        <v>158</v>
      </c>
      <c r="F23" s="163">
        <v>4.9400000000000004</v>
      </c>
      <c r="G23" s="166">
        <f>C23*F23</f>
        <v>2.4700000000000002</v>
      </c>
    </row>
    <row r="24" spans="1:7">
      <c r="A24" s="4"/>
      <c r="B24" s="4" t="s">
        <v>530</v>
      </c>
      <c r="C24" s="169">
        <v>2</v>
      </c>
      <c r="D24" s="4" t="s">
        <v>7</v>
      </c>
      <c r="E24" s="168"/>
      <c r="F24" s="163">
        <v>2.34</v>
      </c>
      <c r="G24" s="166">
        <f>C24*F24</f>
        <v>4.68</v>
      </c>
    </row>
    <row r="25" spans="1:7">
      <c r="A25" s="4"/>
      <c r="B25" s="122" t="s">
        <v>570</v>
      </c>
      <c r="C25" s="152">
        <v>10</v>
      </c>
      <c r="D25" s="122" t="s">
        <v>217</v>
      </c>
      <c r="E25" s="4"/>
      <c r="F25" s="172">
        <v>0.28999999999999998</v>
      </c>
      <c r="G25" s="173">
        <f>F25*C25</f>
        <v>2.9</v>
      </c>
    </row>
    <row r="26" spans="1:7">
      <c r="A26" s="4"/>
      <c r="B26" s="122" t="s">
        <v>571</v>
      </c>
      <c r="C26" s="152">
        <v>15</v>
      </c>
      <c r="D26" s="122" t="s">
        <v>217</v>
      </c>
      <c r="E26" s="4"/>
      <c r="F26" s="172">
        <v>0.55000000000000004</v>
      </c>
      <c r="G26" s="173">
        <f>F26*C26</f>
        <v>8.25</v>
      </c>
    </row>
    <row r="27" spans="1:7">
      <c r="B27" s="120"/>
      <c r="C27" s="125"/>
      <c r="D27" s="120"/>
      <c r="F27" s="160" t="s">
        <v>311</v>
      </c>
      <c r="G27" s="161">
        <f>SUM(G2:G26)</f>
        <v>222.99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6767-2681-4488-864A-E792DA1C0373}">
  <dimension ref="A1:G19"/>
  <sheetViews>
    <sheetView workbookViewId="0"/>
  </sheetViews>
  <sheetFormatPr defaultRowHeight="15"/>
  <cols>
    <col min="1" max="1" width="16.42578125" bestFit="1" customWidth="1"/>
    <col min="2" max="2" width="37" bestFit="1" customWidth="1"/>
    <col min="3" max="3" width="18.85546875" bestFit="1" customWidth="1"/>
    <col min="4" max="4" width="7.140625" bestFit="1" customWidth="1"/>
    <col min="5" max="5" width="15.140625" bestFit="1" customWidth="1"/>
    <col min="6" max="6" width="14.5703125" bestFit="1" customWidth="1"/>
    <col min="7" max="7" width="9.42578125" bestFit="1" customWidth="1"/>
  </cols>
  <sheetData>
    <row r="1" spans="1:7" ht="21">
      <c r="A1" s="145" t="s">
        <v>92</v>
      </c>
      <c r="B1" s="117" t="s">
        <v>93</v>
      </c>
      <c r="C1" s="146" t="s">
        <v>348</v>
      </c>
      <c r="D1" s="117" t="s">
        <v>98</v>
      </c>
      <c r="E1" s="83" t="s">
        <v>96</v>
      </c>
      <c r="F1" s="147" t="s">
        <v>423</v>
      </c>
      <c r="G1" s="147" t="s">
        <v>100</v>
      </c>
    </row>
    <row r="2" spans="1:7">
      <c r="A2" s="149"/>
      <c r="B2" s="4" t="s">
        <v>595</v>
      </c>
      <c r="C2" s="124">
        <v>6</v>
      </c>
      <c r="D2" s="122" t="s">
        <v>416</v>
      </c>
      <c r="E2" s="98"/>
      <c r="F2" s="129">
        <v>1.49</v>
      </c>
      <c r="G2" s="130">
        <f>C2*F2</f>
        <v>8.94</v>
      </c>
    </row>
    <row r="3" spans="1:7">
      <c r="A3" s="149"/>
      <c r="B3" s="4" t="s">
        <v>596</v>
      </c>
      <c r="C3" s="124">
        <v>6</v>
      </c>
      <c r="D3" s="122" t="s">
        <v>217</v>
      </c>
      <c r="E3" s="98"/>
      <c r="F3" s="129">
        <v>1.49</v>
      </c>
      <c r="G3" s="130">
        <f>C3*F3</f>
        <v>8.94</v>
      </c>
    </row>
    <row r="4" spans="1:7">
      <c r="A4" s="149"/>
      <c r="B4" s="4" t="s">
        <v>597</v>
      </c>
      <c r="C4" s="124">
        <v>6</v>
      </c>
      <c r="D4" s="122" t="s">
        <v>416</v>
      </c>
      <c r="E4" s="98"/>
      <c r="F4" s="129">
        <v>1.39</v>
      </c>
      <c r="G4" s="130">
        <f>C4*F4</f>
        <v>8.34</v>
      </c>
    </row>
    <row r="5" spans="1:7">
      <c r="A5" s="149"/>
      <c r="B5" s="4" t="s">
        <v>598</v>
      </c>
      <c r="C5" s="124">
        <v>6</v>
      </c>
      <c r="D5" s="122" t="s">
        <v>217</v>
      </c>
      <c r="E5" s="98"/>
      <c r="F5" s="129">
        <v>1.69</v>
      </c>
      <c r="G5" s="130">
        <f>C5*F5</f>
        <v>10.14</v>
      </c>
    </row>
    <row r="6" spans="1:7">
      <c r="A6" s="149"/>
      <c r="B6" s="150" t="s">
        <v>599</v>
      </c>
      <c r="C6" s="124">
        <v>48</v>
      </c>
      <c r="D6" s="122" t="s">
        <v>147</v>
      </c>
      <c r="E6" s="98"/>
      <c r="F6" s="129">
        <v>1.79</v>
      </c>
      <c r="G6" s="130">
        <f>C6*F6</f>
        <v>85.92</v>
      </c>
    </row>
    <row r="7" spans="1:7">
      <c r="A7" s="149"/>
      <c r="B7" s="150" t="s">
        <v>600</v>
      </c>
      <c r="C7" s="124">
        <v>1</v>
      </c>
      <c r="D7" s="122" t="s">
        <v>320</v>
      </c>
      <c r="E7" s="98"/>
      <c r="F7" s="129">
        <v>6.4</v>
      </c>
      <c r="G7" s="130">
        <f>C7*F7</f>
        <v>6.4</v>
      </c>
    </row>
    <row r="8" spans="1:7">
      <c r="A8" s="148"/>
      <c r="B8" s="4" t="s">
        <v>213</v>
      </c>
      <c r="C8" s="124">
        <v>6</v>
      </c>
      <c r="D8" s="122" t="s">
        <v>151</v>
      </c>
      <c r="E8" s="98"/>
      <c r="F8" s="129">
        <v>2.34</v>
      </c>
      <c r="G8" s="130">
        <f>C8*F8</f>
        <v>14.04</v>
      </c>
    </row>
    <row r="9" spans="1:7">
      <c r="A9" s="149"/>
      <c r="B9" s="151" t="s">
        <v>601</v>
      </c>
      <c r="C9" s="155">
        <v>1</v>
      </c>
      <c r="D9" s="122" t="s">
        <v>386</v>
      </c>
      <c r="E9" s="98"/>
      <c r="F9" s="129">
        <v>8.7899999999999991</v>
      </c>
      <c r="G9" s="130">
        <f>C9*F9</f>
        <v>8.7899999999999991</v>
      </c>
    </row>
    <row r="10" spans="1:7">
      <c r="A10" s="153"/>
      <c r="B10" s="154" t="s">
        <v>405</v>
      </c>
      <c r="C10" s="155">
        <v>2</v>
      </c>
      <c r="D10" s="156" t="s">
        <v>151</v>
      </c>
      <c r="E10" s="157"/>
      <c r="F10" s="158">
        <v>2.96</v>
      </c>
      <c r="G10" s="159">
        <f>F10*C10</f>
        <v>5.92</v>
      </c>
    </row>
    <row r="11" spans="1:7">
      <c r="A11" s="153"/>
      <c r="B11" s="154" t="s">
        <v>107</v>
      </c>
      <c r="C11" s="155">
        <v>2</v>
      </c>
      <c r="D11" s="156" t="s">
        <v>151</v>
      </c>
      <c r="E11" s="157"/>
      <c r="F11" s="158">
        <v>2.08</v>
      </c>
      <c r="G11" s="159">
        <f>F11*C11</f>
        <v>4.16</v>
      </c>
    </row>
    <row r="12" spans="1:7">
      <c r="A12" s="153"/>
      <c r="B12" s="154" t="s">
        <v>409</v>
      </c>
      <c r="C12" s="155">
        <v>2</v>
      </c>
      <c r="D12" s="156" t="s">
        <v>151</v>
      </c>
      <c r="E12" s="157"/>
      <c r="F12" s="158">
        <v>2.19</v>
      </c>
      <c r="G12" s="159">
        <f>F12*C12</f>
        <v>4.38</v>
      </c>
    </row>
    <row r="13" spans="1:7">
      <c r="A13" s="153"/>
      <c r="B13" s="154" t="s">
        <v>562</v>
      </c>
      <c r="C13" s="155">
        <v>2</v>
      </c>
      <c r="D13" s="156" t="s">
        <v>7</v>
      </c>
      <c r="E13" s="157"/>
      <c r="F13" s="158">
        <v>2.19</v>
      </c>
      <c r="G13" s="159">
        <f>C13*F13</f>
        <v>4.38</v>
      </c>
    </row>
    <row r="14" spans="1:7">
      <c r="A14" s="27"/>
      <c r="B14" s="156" t="s">
        <v>563</v>
      </c>
      <c r="C14" s="155">
        <v>6</v>
      </c>
      <c r="D14" s="156" t="s">
        <v>7</v>
      </c>
      <c r="E14" s="38"/>
      <c r="F14" s="162">
        <v>1.64</v>
      </c>
      <c r="G14" s="165">
        <f>C14*F14</f>
        <v>9.84</v>
      </c>
    </row>
    <row r="15" spans="1:7">
      <c r="A15" s="4"/>
      <c r="B15" s="4" t="s">
        <v>567</v>
      </c>
      <c r="C15" s="169">
        <v>1</v>
      </c>
      <c r="D15" s="4" t="s">
        <v>194</v>
      </c>
      <c r="E15" s="168" t="s">
        <v>158</v>
      </c>
      <c r="F15" s="163">
        <v>5.05</v>
      </c>
      <c r="G15" s="166">
        <f>C15*F15</f>
        <v>5.05</v>
      </c>
    </row>
    <row r="16" spans="1:7">
      <c r="A16" s="4"/>
      <c r="B16" s="4" t="s">
        <v>530</v>
      </c>
      <c r="C16" s="169">
        <v>2</v>
      </c>
      <c r="D16" s="4" t="s">
        <v>151</v>
      </c>
      <c r="E16" s="168"/>
      <c r="F16" s="163">
        <v>2.52</v>
      </c>
      <c r="G16" s="166">
        <f>C16*F16</f>
        <v>5.04</v>
      </c>
    </row>
    <row r="17" spans="1:7">
      <c r="A17" s="4"/>
      <c r="B17" s="122" t="s">
        <v>570</v>
      </c>
      <c r="C17" s="152">
        <v>10</v>
      </c>
      <c r="D17" s="122" t="s">
        <v>217</v>
      </c>
      <c r="E17" s="4"/>
      <c r="F17" s="172">
        <v>0.28999999999999998</v>
      </c>
      <c r="G17" s="173">
        <f>F17*C17</f>
        <v>2.9</v>
      </c>
    </row>
    <row r="18" spans="1:7">
      <c r="A18" s="4"/>
      <c r="B18" s="122" t="s">
        <v>602</v>
      </c>
      <c r="C18" s="152">
        <v>25</v>
      </c>
      <c r="D18" s="122" t="s">
        <v>217</v>
      </c>
      <c r="E18" s="4"/>
      <c r="F18" s="172">
        <v>0.67</v>
      </c>
      <c r="G18" s="173">
        <f>F18*C18</f>
        <v>16.75</v>
      </c>
    </row>
    <row r="19" spans="1:7">
      <c r="B19" s="120"/>
      <c r="C19" s="125"/>
      <c r="D19" s="120"/>
      <c r="F19" s="160" t="s">
        <v>311</v>
      </c>
      <c r="G19" s="161">
        <f>SUM(G2:G18)</f>
        <v>209.92999999999998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5EC1-0BA9-4F52-99AC-9D0776337821}">
  <dimension ref="A1:G39"/>
  <sheetViews>
    <sheetView topLeftCell="A14" workbookViewId="0">
      <selection activeCell="B28" sqref="B28"/>
    </sheetView>
  </sheetViews>
  <sheetFormatPr defaultRowHeight="15"/>
  <cols>
    <col min="1" max="1" width="16.42578125" bestFit="1" customWidth="1"/>
    <col min="2" max="2" width="41.28515625" customWidth="1"/>
    <col min="3" max="3" width="18.85546875" bestFit="1" customWidth="1"/>
    <col min="4" max="4" width="6.5703125" bestFit="1" customWidth="1"/>
    <col min="5" max="5" width="15.140625" bestFit="1" customWidth="1"/>
    <col min="6" max="6" width="14.5703125" bestFit="1" customWidth="1"/>
    <col min="7" max="7" width="9.42578125" bestFit="1" customWidth="1"/>
    <col min="10" max="10" width="108.7109375" bestFit="1" customWidth="1"/>
  </cols>
  <sheetData>
    <row r="1" spans="1:7" ht="21">
      <c r="A1" s="145" t="s">
        <v>92</v>
      </c>
      <c r="B1" s="117" t="s">
        <v>93</v>
      </c>
      <c r="C1" s="146" t="s">
        <v>348</v>
      </c>
      <c r="D1" s="117" t="s">
        <v>98</v>
      </c>
      <c r="E1" s="83" t="s">
        <v>96</v>
      </c>
      <c r="F1" s="147" t="s">
        <v>423</v>
      </c>
      <c r="G1" s="147" t="s">
        <v>100</v>
      </c>
    </row>
    <row r="2" spans="1:7">
      <c r="A2" s="149"/>
      <c r="B2" s="4" t="s">
        <v>595</v>
      </c>
      <c r="C2" s="124">
        <v>3</v>
      </c>
      <c r="D2" s="122" t="s">
        <v>416</v>
      </c>
      <c r="E2" s="98"/>
      <c r="F2" s="129">
        <v>1.49</v>
      </c>
      <c r="G2" s="130">
        <f>C2*F2</f>
        <v>4.47</v>
      </c>
    </row>
    <row r="3" spans="1:7">
      <c r="A3" s="149"/>
      <c r="B3" s="4" t="s">
        <v>596</v>
      </c>
      <c r="C3" s="124">
        <v>3</v>
      </c>
      <c r="D3" s="122" t="s">
        <v>217</v>
      </c>
      <c r="E3" s="98"/>
      <c r="F3" s="129">
        <v>1.49</v>
      </c>
      <c r="G3" s="130">
        <f>C3*F3</f>
        <v>4.47</v>
      </c>
    </row>
    <row r="4" spans="1:7">
      <c r="A4" s="149"/>
      <c r="B4" s="4" t="s">
        <v>597</v>
      </c>
      <c r="C4" s="124">
        <v>6</v>
      </c>
      <c r="D4" s="122" t="s">
        <v>416</v>
      </c>
      <c r="E4" s="98"/>
      <c r="F4" s="129">
        <v>1.39</v>
      </c>
      <c r="G4" s="130">
        <f>C4*F4</f>
        <v>8.34</v>
      </c>
    </row>
    <row r="5" spans="1:7">
      <c r="A5" s="149"/>
      <c r="B5" s="150" t="s">
        <v>599</v>
      </c>
      <c r="C5" s="124">
        <v>48</v>
      </c>
      <c r="D5" s="122" t="s">
        <v>147</v>
      </c>
      <c r="E5" s="98"/>
      <c r="F5" s="129">
        <v>1.79</v>
      </c>
      <c r="G5" s="130">
        <f>C5*F5</f>
        <v>85.92</v>
      </c>
    </row>
    <row r="6" spans="1:7">
      <c r="A6" s="149"/>
      <c r="B6" s="150" t="s">
        <v>600</v>
      </c>
      <c r="C6" s="124">
        <v>1</v>
      </c>
      <c r="D6" s="122" t="s">
        <v>320</v>
      </c>
      <c r="E6" s="98"/>
      <c r="F6" s="129">
        <v>6.4</v>
      </c>
      <c r="G6" s="130">
        <f>C6*F6</f>
        <v>6.4</v>
      </c>
    </row>
    <row r="7" spans="1:7">
      <c r="A7" s="148"/>
      <c r="B7" s="4" t="s">
        <v>213</v>
      </c>
      <c r="C7" s="124">
        <v>4</v>
      </c>
      <c r="D7" s="122" t="s">
        <v>151</v>
      </c>
      <c r="E7" s="98"/>
      <c r="F7" s="129">
        <v>2.34</v>
      </c>
      <c r="G7" s="130">
        <f>C7*F7</f>
        <v>9.36</v>
      </c>
    </row>
    <row r="8" spans="1:7">
      <c r="A8" s="148"/>
      <c r="B8" s="4" t="s">
        <v>603</v>
      </c>
      <c r="C8" s="155">
        <v>6</v>
      </c>
      <c r="D8" s="122" t="s">
        <v>217</v>
      </c>
      <c r="E8" s="98"/>
      <c r="F8" s="129">
        <v>0.92</v>
      </c>
      <c r="G8" s="130">
        <f>C8*F8</f>
        <v>5.5200000000000005</v>
      </c>
    </row>
    <row r="9" spans="1:7">
      <c r="A9" s="148"/>
      <c r="B9" s="4" t="s">
        <v>604</v>
      </c>
      <c r="C9" s="155">
        <v>1</v>
      </c>
      <c r="D9" s="122" t="s">
        <v>7</v>
      </c>
      <c r="E9" s="98"/>
      <c r="F9" s="129">
        <v>21.99</v>
      </c>
      <c r="G9" s="130">
        <f>C9*F9</f>
        <v>21.99</v>
      </c>
    </row>
    <row r="10" spans="1:7">
      <c r="A10" s="148"/>
      <c r="B10" s="4" t="s">
        <v>605</v>
      </c>
      <c r="C10" s="155">
        <v>6</v>
      </c>
      <c r="D10" s="122" t="s">
        <v>147</v>
      </c>
      <c r="E10" s="98"/>
      <c r="F10" s="129">
        <v>1.59</v>
      </c>
      <c r="G10" s="130">
        <f>C10*F10</f>
        <v>9.5400000000000009</v>
      </c>
    </row>
    <row r="11" spans="1:7">
      <c r="A11" s="148"/>
      <c r="B11" s="4" t="s">
        <v>606</v>
      </c>
      <c r="C11" s="155">
        <v>2</v>
      </c>
      <c r="D11" s="122" t="s">
        <v>147</v>
      </c>
      <c r="E11" s="98"/>
      <c r="F11" s="129">
        <v>1.79</v>
      </c>
      <c r="G11" s="130">
        <f>C11*F11</f>
        <v>3.58</v>
      </c>
    </row>
    <row r="12" spans="1:7">
      <c r="A12" s="148"/>
      <c r="B12" s="4" t="s">
        <v>404</v>
      </c>
      <c r="C12" s="155">
        <v>4</v>
      </c>
      <c r="D12" s="122" t="s">
        <v>147</v>
      </c>
      <c r="E12" s="98"/>
      <c r="F12" s="129">
        <v>1.89</v>
      </c>
      <c r="G12" s="130">
        <f>C12*F12</f>
        <v>7.56</v>
      </c>
    </row>
    <row r="13" spans="1:7">
      <c r="A13" s="148"/>
      <c r="B13" s="4" t="s">
        <v>607</v>
      </c>
      <c r="C13" s="155">
        <v>2</v>
      </c>
      <c r="D13" s="122" t="s">
        <v>147</v>
      </c>
      <c r="E13" s="98"/>
      <c r="F13" s="129">
        <v>1.99</v>
      </c>
      <c r="G13" s="130">
        <f>C13*F13</f>
        <v>3.98</v>
      </c>
    </row>
    <row r="14" spans="1:7">
      <c r="A14" s="148"/>
      <c r="B14" s="4" t="s">
        <v>608</v>
      </c>
      <c r="C14" s="155">
        <v>2</v>
      </c>
      <c r="D14" s="122" t="s">
        <v>147</v>
      </c>
      <c r="E14" s="98"/>
      <c r="F14" s="129">
        <v>1.85</v>
      </c>
      <c r="G14" s="130">
        <f>C14*F14</f>
        <v>3.7</v>
      </c>
    </row>
    <row r="15" spans="1:7">
      <c r="A15" s="148"/>
      <c r="B15" s="4" t="s">
        <v>609</v>
      </c>
      <c r="C15" s="155">
        <v>6</v>
      </c>
      <c r="D15" s="122" t="s">
        <v>610</v>
      </c>
      <c r="E15" s="98"/>
      <c r="F15" s="129">
        <v>0.87</v>
      </c>
      <c r="G15" s="130">
        <f>C15*F15</f>
        <v>5.22</v>
      </c>
    </row>
    <row r="16" spans="1:7">
      <c r="A16" s="148"/>
      <c r="B16" s="4" t="s">
        <v>611</v>
      </c>
      <c r="C16" s="155">
        <v>24</v>
      </c>
      <c r="D16" s="122" t="s">
        <v>612</v>
      </c>
      <c r="E16" s="98"/>
      <c r="F16" s="129">
        <v>2.42</v>
      </c>
      <c r="G16" s="130">
        <f>C16*F16</f>
        <v>58.08</v>
      </c>
    </row>
    <row r="17" spans="1:7">
      <c r="A17" s="148"/>
      <c r="B17" s="4" t="s">
        <v>212</v>
      </c>
      <c r="C17" s="155">
        <v>1</v>
      </c>
      <c r="D17" s="122" t="s">
        <v>7</v>
      </c>
      <c r="E17" s="98"/>
      <c r="F17" s="129">
        <v>8.49</v>
      </c>
      <c r="G17" s="130">
        <f>C17*F17</f>
        <v>8.49</v>
      </c>
    </row>
    <row r="18" spans="1:7">
      <c r="A18" s="148"/>
      <c r="B18" s="4" t="s">
        <v>613</v>
      </c>
      <c r="C18" s="155">
        <v>6</v>
      </c>
      <c r="D18" s="122" t="s">
        <v>614</v>
      </c>
      <c r="E18" s="98" t="s">
        <v>615</v>
      </c>
      <c r="F18" s="129">
        <v>3.29</v>
      </c>
      <c r="G18" s="130">
        <f>C18*F18</f>
        <v>19.740000000000002</v>
      </c>
    </row>
    <row r="19" spans="1:7">
      <c r="A19" s="148"/>
      <c r="B19" s="4" t="s">
        <v>616</v>
      </c>
      <c r="C19" s="155">
        <v>1</v>
      </c>
      <c r="D19" s="122" t="s">
        <v>374</v>
      </c>
      <c r="E19" s="98"/>
      <c r="F19" s="129">
        <v>14.99</v>
      </c>
      <c r="G19" s="130">
        <f>C19*F19</f>
        <v>14.99</v>
      </c>
    </row>
    <row r="20" spans="1:7">
      <c r="A20" s="148"/>
      <c r="B20" s="4" t="s">
        <v>617</v>
      </c>
      <c r="C20" s="155">
        <v>1</v>
      </c>
      <c r="D20" s="122" t="s">
        <v>374</v>
      </c>
      <c r="E20" s="98"/>
      <c r="F20" s="129">
        <v>14.99</v>
      </c>
      <c r="G20" s="130">
        <f>C20*F20</f>
        <v>14.99</v>
      </c>
    </row>
    <row r="21" spans="1:7">
      <c r="A21" s="148"/>
      <c r="B21" s="4" t="s">
        <v>618</v>
      </c>
      <c r="C21" s="155">
        <v>6</v>
      </c>
      <c r="D21" s="122" t="s">
        <v>217</v>
      </c>
      <c r="E21" s="98" t="s">
        <v>619</v>
      </c>
      <c r="F21" s="129">
        <v>0.92</v>
      </c>
      <c r="G21" s="130">
        <f>C21*F21</f>
        <v>5.5200000000000005</v>
      </c>
    </row>
    <row r="22" spans="1:7">
      <c r="A22" s="148"/>
      <c r="B22" s="4" t="s">
        <v>356</v>
      </c>
      <c r="C22" s="155">
        <v>1.6</v>
      </c>
      <c r="D22" s="122" t="s">
        <v>7</v>
      </c>
      <c r="E22" s="98"/>
      <c r="F22" s="129">
        <v>13.89</v>
      </c>
      <c r="G22" s="130">
        <f>C22*F22</f>
        <v>22.224000000000004</v>
      </c>
    </row>
    <row r="23" spans="1:7">
      <c r="A23" s="148"/>
      <c r="B23" s="4" t="s">
        <v>620</v>
      </c>
      <c r="C23" s="155">
        <v>6</v>
      </c>
      <c r="D23" s="122" t="s">
        <v>610</v>
      </c>
      <c r="E23" s="98"/>
      <c r="F23" s="129">
        <v>0.87</v>
      </c>
      <c r="G23" s="130">
        <f>C23*F23</f>
        <v>5.22</v>
      </c>
    </row>
    <row r="24" spans="1:7">
      <c r="A24" s="148"/>
      <c r="B24" s="4" t="s">
        <v>621</v>
      </c>
      <c r="C24" s="155">
        <v>12</v>
      </c>
      <c r="D24" s="122" t="s">
        <v>622</v>
      </c>
      <c r="E24" s="98"/>
      <c r="F24" s="129">
        <v>0.59</v>
      </c>
      <c r="G24" s="130">
        <f>C24*F24</f>
        <v>7.08</v>
      </c>
    </row>
    <row r="25" spans="1:7">
      <c r="A25" s="148"/>
      <c r="B25" s="4" t="s">
        <v>623</v>
      </c>
      <c r="C25" s="155">
        <v>2</v>
      </c>
      <c r="D25" s="122" t="s">
        <v>217</v>
      </c>
      <c r="E25" s="98" t="s">
        <v>377</v>
      </c>
      <c r="F25" s="129">
        <v>1.49</v>
      </c>
      <c r="G25" s="130">
        <f>C25*F25</f>
        <v>2.98</v>
      </c>
    </row>
    <row r="26" spans="1:7">
      <c r="A26" s="148"/>
      <c r="B26" s="4" t="s">
        <v>624</v>
      </c>
      <c r="C26" s="155">
        <v>2</v>
      </c>
      <c r="D26" s="122" t="s">
        <v>7</v>
      </c>
      <c r="E26" s="98"/>
      <c r="F26" s="129">
        <v>3.16</v>
      </c>
      <c r="G26" s="130">
        <f>C26*F26</f>
        <v>6.32</v>
      </c>
    </row>
    <row r="27" spans="1:7">
      <c r="A27" s="148"/>
      <c r="B27" s="4" t="s">
        <v>625</v>
      </c>
      <c r="C27" s="155">
        <v>0.5</v>
      </c>
      <c r="D27" s="122" t="s">
        <v>7</v>
      </c>
      <c r="E27" s="98"/>
      <c r="F27" s="129">
        <v>7.74</v>
      </c>
      <c r="G27" s="130">
        <f>C27*F27</f>
        <v>3.87</v>
      </c>
    </row>
    <row r="28" spans="1:7">
      <c r="A28" s="148"/>
      <c r="B28" s="4" t="s">
        <v>450</v>
      </c>
      <c r="C28" s="155">
        <v>1</v>
      </c>
      <c r="D28" s="122" t="s">
        <v>151</v>
      </c>
      <c r="E28" s="98" t="s">
        <v>626</v>
      </c>
      <c r="F28" s="129">
        <v>1.69</v>
      </c>
      <c r="G28" s="130">
        <f>C28*F28</f>
        <v>1.69</v>
      </c>
    </row>
    <row r="29" spans="1:7">
      <c r="A29" s="149"/>
      <c r="B29" s="151" t="s">
        <v>601</v>
      </c>
      <c r="C29" s="155">
        <v>1</v>
      </c>
      <c r="D29" s="122" t="s">
        <v>386</v>
      </c>
      <c r="E29" s="98"/>
      <c r="F29" s="129">
        <v>8.7899999999999991</v>
      </c>
      <c r="G29" s="130">
        <f>C29*F29</f>
        <v>8.7899999999999991</v>
      </c>
    </row>
    <row r="30" spans="1:7">
      <c r="A30" s="153"/>
      <c r="B30" s="154" t="s">
        <v>405</v>
      </c>
      <c r="C30" s="155">
        <v>2</v>
      </c>
      <c r="D30" s="156" t="s">
        <v>151</v>
      </c>
      <c r="E30" s="157"/>
      <c r="F30" s="158">
        <v>2.96</v>
      </c>
      <c r="G30" s="159">
        <f>F30*C30</f>
        <v>5.92</v>
      </c>
    </row>
    <row r="31" spans="1:7">
      <c r="A31" s="153"/>
      <c r="B31" s="154" t="s">
        <v>107</v>
      </c>
      <c r="C31" s="155">
        <v>1</v>
      </c>
      <c r="D31" s="156" t="s">
        <v>151</v>
      </c>
      <c r="E31" s="157"/>
      <c r="F31" s="158">
        <v>2.08</v>
      </c>
      <c r="G31" s="159">
        <f>F31*C31</f>
        <v>2.08</v>
      </c>
    </row>
    <row r="32" spans="1:7">
      <c r="A32" s="153"/>
      <c r="B32" s="154" t="s">
        <v>409</v>
      </c>
      <c r="C32" s="155">
        <v>1</v>
      </c>
      <c r="D32" s="156" t="s">
        <v>151</v>
      </c>
      <c r="E32" s="157"/>
      <c r="F32" s="158">
        <v>2.19</v>
      </c>
      <c r="G32" s="159">
        <f>F32*C32</f>
        <v>2.19</v>
      </c>
    </row>
    <row r="33" spans="1:7">
      <c r="A33" s="153"/>
      <c r="B33" s="154" t="s">
        <v>562</v>
      </c>
      <c r="C33" s="155">
        <v>5</v>
      </c>
      <c r="D33" s="156" t="s">
        <v>7</v>
      </c>
      <c r="E33" s="157"/>
      <c r="F33" s="158">
        <v>2.19</v>
      </c>
      <c r="G33" s="159">
        <f>C33*F33</f>
        <v>10.95</v>
      </c>
    </row>
    <row r="34" spans="1:7">
      <c r="A34" s="27"/>
      <c r="B34" s="156" t="s">
        <v>563</v>
      </c>
      <c r="C34" s="155">
        <v>3</v>
      </c>
      <c r="D34" s="156" t="s">
        <v>7</v>
      </c>
      <c r="E34" s="38"/>
      <c r="F34" s="162">
        <v>1.64</v>
      </c>
      <c r="G34" s="165">
        <f>C34*F34</f>
        <v>4.92</v>
      </c>
    </row>
    <row r="35" spans="1:7">
      <c r="A35" s="4"/>
      <c r="B35" s="4" t="s">
        <v>567</v>
      </c>
      <c r="C35" s="169">
        <v>1</v>
      </c>
      <c r="D35" s="4" t="s">
        <v>194</v>
      </c>
      <c r="E35" s="168" t="s">
        <v>158</v>
      </c>
      <c r="F35" s="163">
        <v>5.05</v>
      </c>
      <c r="G35" s="166">
        <f>C35*F35</f>
        <v>5.05</v>
      </c>
    </row>
    <row r="36" spans="1:7">
      <c r="A36" s="4"/>
      <c r="B36" s="4" t="s">
        <v>279</v>
      </c>
      <c r="C36" s="169">
        <v>1</v>
      </c>
      <c r="D36" s="4" t="s">
        <v>7</v>
      </c>
      <c r="E36" s="168"/>
      <c r="F36" s="163">
        <v>2.52</v>
      </c>
      <c r="G36" s="166">
        <f>C36*F36</f>
        <v>2.52</v>
      </c>
    </row>
    <row r="37" spans="1:7">
      <c r="A37" s="4"/>
      <c r="B37" s="122" t="s">
        <v>570</v>
      </c>
      <c r="C37" s="152">
        <v>10</v>
      </c>
      <c r="D37" s="122" t="s">
        <v>217</v>
      </c>
      <c r="E37" s="4"/>
      <c r="F37" s="172">
        <v>0.28999999999999998</v>
      </c>
      <c r="G37" s="173">
        <f>F37*C37</f>
        <v>2.9</v>
      </c>
    </row>
    <row r="38" spans="1:7">
      <c r="A38" s="4"/>
      <c r="B38" s="122" t="s">
        <v>602</v>
      </c>
      <c r="C38" s="152">
        <v>20</v>
      </c>
      <c r="D38" s="122" t="s">
        <v>217</v>
      </c>
      <c r="E38" s="4"/>
      <c r="F38" s="172">
        <v>0.67</v>
      </c>
      <c r="G38" s="173">
        <f>F38*C38</f>
        <v>13.4</v>
      </c>
    </row>
    <row r="39" spans="1:7">
      <c r="B39" s="120"/>
      <c r="C39" s="125"/>
      <c r="D39" s="120"/>
      <c r="F39" s="160" t="s">
        <v>311</v>
      </c>
      <c r="G39" s="161">
        <f>SUM(G2:G38)</f>
        <v>409.964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CCC0-E342-470E-87AA-F46D808F168C}">
  <dimension ref="A1:G18"/>
  <sheetViews>
    <sheetView workbookViewId="0">
      <selection activeCell="P13" sqref="P13"/>
    </sheetView>
  </sheetViews>
  <sheetFormatPr defaultRowHeight="15"/>
  <cols>
    <col min="1" max="1" width="16.85546875" customWidth="1"/>
    <col min="2" max="2" width="34.7109375" customWidth="1"/>
    <col min="3" max="3" width="18.5703125" customWidth="1"/>
    <col min="4" max="4" width="12" customWidth="1"/>
    <col min="5" max="5" width="20.7109375" customWidth="1"/>
    <col min="6" max="6" width="14.85546875" customWidth="1"/>
    <col min="7" max="7" width="17" customWidth="1"/>
  </cols>
  <sheetData>
    <row r="1" spans="1:7" ht="21">
      <c r="A1" s="145" t="s">
        <v>92</v>
      </c>
      <c r="B1" s="117" t="s">
        <v>93</v>
      </c>
      <c r="C1" s="146" t="s">
        <v>348</v>
      </c>
      <c r="D1" s="117" t="s">
        <v>98</v>
      </c>
      <c r="E1" s="83" t="s">
        <v>96</v>
      </c>
      <c r="F1" s="147" t="s">
        <v>423</v>
      </c>
      <c r="G1" s="147" t="s">
        <v>100</v>
      </c>
    </row>
    <row r="2" spans="1:7">
      <c r="A2" s="149"/>
      <c r="B2" s="4" t="s">
        <v>595</v>
      </c>
      <c r="C2" s="124">
        <v>12</v>
      </c>
      <c r="D2" s="122" t="s">
        <v>416</v>
      </c>
      <c r="E2" s="98"/>
      <c r="F2" s="129">
        <v>1.49</v>
      </c>
      <c r="G2" s="130">
        <f>C2*F2</f>
        <v>17.88</v>
      </c>
    </row>
    <row r="3" spans="1:7">
      <c r="A3" s="149"/>
      <c r="B3" s="150" t="s">
        <v>492</v>
      </c>
      <c r="C3" s="124">
        <v>1</v>
      </c>
      <c r="D3" s="122" t="s">
        <v>7</v>
      </c>
      <c r="E3" s="98"/>
      <c r="F3" s="129">
        <v>11.54</v>
      </c>
      <c r="G3" s="130">
        <f>C3*F3</f>
        <v>11.54</v>
      </c>
    </row>
    <row r="4" spans="1:7">
      <c r="A4" s="148"/>
      <c r="B4" s="4" t="s">
        <v>213</v>
      </c>
      <c r="C4" s="124">
        <v>6</v>
      </c>
      <c r="D4" s="122" t="s">
        <v>151</v>
      </c>
      <c r="E4" s="98"/>
      <c r="F4" s="129">
        <v>2.34</v>
      </c>
      <c r="G4" s="130">
        <f>C4*F4</f>
        <v>14.04</v>
      </c>
    </row>
    <row r="5" spans="1:7">
      <c r="A5" s="148"/>
      <c r="B5" s="4" t="s">
        <v>603</v>
      </c>
      <c r="C5" s="155">
        <v>5</v>
      </c>
      <c r="D5" s="122" t="s">
        <v>217</v>
      </c>
      <c r="E5" s="98"/>
      <c r="F5" s="129">
        <v>0.92</v>
      </c>
      <c r="G5" s="130">
        <f>C5*F5</f>
        <v>4.6000000000000005</v>
      </c>
    </row>
    <row r="6" spans="1:7">
      <c r="A6" s="148"/>
      <c r="B6" s="4" t="s">
        <v>627</v>
      </c>
      <c r="C6" s="155">
        <v>1</v>
      </c>
      <c r="D6" s="122" t="s">
        <v>7</v>
      </c>
      <c r="E6" s="98"/>
      <c r="F6" s="129">
        <v>11.39</v>
      </c>
      <c r="G6" s="130">
        <f>C6*F6</f>
        <v>11.39</v>
      </c>
    </row>
    <row r="7" spans="1:7">
      <c r="A7" s="148"/>
      <c r="B7" s="4" t="s">
        <v>628</v>
      </c>
      <c r="C7" s="155">
        <v>1</v>
      </c>
      <c r="D7" s="122" t="s">
        <v>7</v>
      </c>
      <c r="E7" s="98"/>
      <c r="F7" s="129">
        <v>10.6</v>
      </c>
      <c r="G7" s="130">
        <f>C7*F7</f>
        <v>10.6</v>
      </c>
    </row>
    <row r="8" spans="1:7">
      <c r="A8" s="148"/>
      <c r="B8" s="4" t="s">
        <v>609</v>
      </c>
      <c r="C8" s="155">
        <v>24</v>
      </c>
      <c r="D8" s="122" t="s">
        <v>610</v>
      </c>
      <c r="E8" s="98"/>
      <c r="F8" s="129">
        <v>0.87</v>
      </c>
      <c r="G8" s="130">
        <f>C8*F8</f>
        <v>20.88</v>
      </c>
    </row>
    <row r="9" spans="1:7">
      <c r="A9" s="148"/>
      <c r="B9" s="4" t="s">
        <v>620</v>
      </c>
      <c r="C9" s="155">
        <v>24</v>
      </c>
      <c r="D9" s="122" t="s">
        <v>610</v>
      </c>
      <c r="E9" s="98"/>
      <c r="F9" s="129">
        <v>0.87</v>
      </c>
      <c r="G9" s="130">
        <f>C9*F9</f>
        <v>20.88</v>
      </c>
    </row>
    <row r="10" spans="1:7">
      <c r="A10" s="148"/>
      <c r="B10" s="4" t="s">
        <v>623</v>
      </c>
      <c r="C10" s="155">
        <v>24</v>
      </c>
      <c r="D10" s="122" t="s">
        <v>217</v>
      </c>
      <c r="E10" s="98" t="s">
        <v>377</v>
      </c>
      <c r="F10" s="129">
        <v>1.49</v>
      </c>
      <c r="G10" s="130">
        <f>C10*F10</f>
        <v>35.76</v>
      </c>
    </row>
    <row r="11" spans="1:7">
      <c r="A11" s="153"/>
      <c r="B11" s="154" t="s">
        <v>405</v>
      </c>
      <c r="C11" s="155">
        <v>2</v>
      </c>
      <c r="D11" s="156" t="s">
        <v>151</v>
      </c>
      <c r="E11" s="157"/>
      <c r="F11" s="158">
        <v>2.96</v>
      </c>
      <c r="G11" s="159">
        <f>F11*C11</f>
        <v>5.92</v>
      </c>
    </row>
    <row r="12" spans="1:7">
      <c r="A12" s="153"/>
      <c r="B12" s="154" t="s">
        <v>107</v>
      </c>
      <c r="C12" s="155">
        <v>4</v>
      </c>
      <c r="D12" s="156" t="s">
        <v>151</v>
      </c>
      <c r="E12" s="157"/>
      <c r="F12" s="158">
        <v>2.08</v>
      </c>
      <c r="G12" s="159">
        <f>F12*C12</f>
        <v>8.32</v>
      </c>
    </row>
    <row r="13" spans="1:7">
      <c r="A13" s="27"/>
      <c r="B13" s="156" t="s">
        <v>563</v>
      </c>
      <c r="C13" s="155">
        <v>9</v>
      </c>
      <c r="D13" s="156" t="s">
        <v>7</v>
      </c>
      <c r="E13" s="38"/>
      <c r="F13" s="162">
        <v>1.64</v>
      </c>
      <c r="G13" s="165">
        <f>C13*F13</f>
        <v>14.76</v>
      </c>
    </row>
    <row r="14" spans="1:7">
      <c r="A14" s="4"/>
      <c r="B14" s="4" t="s">
        <v>567</v>
      </c>
      <c r="C14" s="169">
        <v>2</v>
      </c>
      <c r="D14" s="4" t="s">
        <v>194</v>
      </c>
      <c r="E14" s="168" t="s">
        <v>158</v>
      </c>
      <c r="F14" s="163">
        <v>5.05</v>
      </c>
      <c r="G14" s="166">
        <f>C14*F14</f>
        <v>10.1</v>
      </c>
    </row>
    <row r="15" spans="1:7">
      <c r="A15" s="4"/>
      <c r="B15" s="4" t="s">
        <v>279</v>
      </c>
      <c r="C15" s="169">
        <v>6</v>
      </c>
      <c r="D15" s="4" t="s">
        <v>151</v>
      </c>
      <c r="E15" s="168"/>
      <c r="F15" s="163">
        <v>2.52</v>
      </c>
      <c r="G15" s="166">
        <f>C15*F15</f>
        <v>15.120000000000001</v>
      </c>
    </row>
    <row r="16" spans="1:7">
      <c r="A16" s="4"/>
      <c r="B16" s="122" t="s">
        <v>570</v>
      </c>
      <c r="C16" s="152">
        <v>10</v>
      </c>
      <c r="D16" s="122" t="s">
        <v>217</v>
      </c>
      <c r="E16" s="4"/>
      <c r="F16" s="172">
        <v>0.28999999999999998</v>
      </c>
      <c r="G16" s="173">
        <f>F16*C16</f>
        <v>2.9</v>
      </c>
    </row>
    <row r="17" spans="1:7">
      <c r="A17" s="4"/>
      <c r="B17" s="122" t="s">
        <v>602</v>
      </c>
      <c r="C17" s="152">
        <v>20</v>
      </c>
      <c r="D17" s="122" t="s">
        <v>217</v>
      </c>
      <c r="E17" s="4"/>
      <c r="F17" s="172">
        <v>0.67</v>
      </c>
      <c r="G17" s="173">
        <f>F17*C17</f>
        <v>13.4</v>
      </c>
    </row>
    <row r="18" spans="1:7">
      <c r="B18" s="120"/>
      <c r="C18" s="125"/>
      <c r="D18" s="120"/>
      <c r="F18" s="160" t="s">
        <v>311</v>
      </c>
      <c r="G18" s="161">
        <f>SUM(G2:G17)</f>
        <v>218.08999999999997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9B7E-FFE4-47B2-A27E-D5710B2227E8}">
  <dimension ref="A1:L271"/>
  <sheetViews>
    <sheetView topLeftCell="A110" zoomScaleNormal="100" workbookViewId="0">
      <selection activeCell="G68" sqref="G68"/>
    </sheetView>
  </sheetViews>
  <sheetFormatPr defaultColWidth="8.5703125" defaultRowHeight="15"/>
  <cols>
    <col min="1" max="1" width="7.7109375" customWidth="1"/>
    <col min="2" max="2" width="32" customWidth="1"/>
    <col min="3" max="3" width="13.28515625" customWidth="1"/>
    <col min="4" max="4" width="7.140625" customWidth="1"/>
    <col min="5" max="5" width="9.85546875" customWidth="1"/>
    <col min="6" max="6" width="12.42578125" customWidth="1"/>
    <col min="10" max="10" width="11.140625" customWidth="1"/>
  </cols>
  <sheetData>
    <row r="1" spans="1:6">
      <c r="A1" s="178" t="s">
        <v>276</v>
      </c>
      <c r="B1" s="178" t="s">
        <v>444</v>
      </c>
      <c r="C1" s="178" t="s">
        <v>445</v>
      </c>
      <c r="D1" s="178" t="s">
        <v>99</v>
      </c>
      <c r="E1" s="178" t="s">
        <v>100</v>
      </c>
      <c r="F1" s="178" t="s">
        <v>446</v>
      </c>
    </row>
    <row r="2" spans="1:6">
      <c r="A2">
        <v>1.04</v>
      </c>
      <c r="B2" t="s">
        <v>500</v>
      </c>
      <c r="C2">
        <v>1</v>
      </c>
      <c r="D2" s="140">
        <v>8.2799999999999994</v>
      </c>
      <c r="E2" s="140">
        <f>C2*D2</f>
        <v>8.2799999999999994</v>
      </c>
      <c r="F2" s="140">
        <f>IF(OR(ISNUMBER(SEARCH("croissant",B2)),ISNUMBER(SEARCH("bretzel",B2)),ISNUMBER(SEARCH("bretzle",B2))),C2*2.9,E2*1.3)</f>
        <v>10.763999999999999</v>
      </c>
    </row>
    <row r="3" spans="1:6">
      <c r="A3">
        <v>1.04</v>
      </c>
      <c r="B3" t="s">
        <v>441</v>
      </c>
      <c r="C3">
        <v>4</v>
      </c>
      <c r="D3" s="140">
        <v>1.59</v>
      </c>
      <c r="E3" s="140">
        <f>C3*D3</f>
        <v>6.36</v>
      </c>
      <c r="F3" s="140">
        <f>IF(OR(ISNUMBER(SEARCH("croissant",B3)),ISNUMBER(SEARCH("bretzel",B3)),ISNUMBER(SEARCH("bretzle",B3))),C3*2.9,E3*1.3)</f>
        <v>8.2680000000000007</v>
      </c>
    </row>
    <row r="4" spans="1:6">
      <c r="A4">
        <v>1.04</v>
      </c>
      <c r="B4" t="s">
        <v>352</v>
      </c>
      <c r="C4">
        <v>1</v>
      </c>
      <c r="D4" s="140">
        <v>10.220000000000001</v>
      </c>
      <c r="E4" s="140">
        <f>C4*D4</f>
        <v>10.220000000000001</v>
      </c>
      <c r="F4" s="140">
        <f>IF(OR(ISNUMBER(SEARCH("croissant",B4)),ISNUMBER(SEARCH("bretzel",B4)),ISNUMBER(SEARCH("bretzle",B4))),C4*2.9,E4*1.3)</f>
        <v>13.286000000000001</v>
      </c>
    </row>
    <row r="5" spans="1:6">
      <c r="A5">
        <v>1.04</v>
      </c>
      <c r="B5" t="s">
        <v>501</v>
      </c>
      <c r="C5">
        <v>18</v>
      </c>
      <c r="D5" s="140">
        <v>1.69</v>
      </c>
      <c r="E5" s="140">
        <f>C5*D5</f>
        <v>30.419999999999998</v>
      </c>
      <c r="F5" s="140">
        <f>IF(OR(ISNUMBER(SEARCH("croissant",B5)),ISNUMBER(SEARCH("bretzel",B5)),ISNUMBER(SEARCH("bretzle",B5))),C5*2.9,E5*1.3)</f>
        <v>39.545999999999999</v>
      </c>
    </row>
    <row r="6" spans="1:6">
      <c r="A6">
        <v>1.04</v>
      </c>
      <c r="B6" t="s">
        <v>432</v>
      </c>
      <c r="C6">
        <v>1</v>
      </c>
      <c r="D6" s="140">
        <v>11.54</v>
      </c>
      <c r="E6" s="140">
        <f>C6*D6</f>
        <v>11.54</v>
      </c>
      <c r="F6" s="140">
        <f>IF(OR(ISNUMBER(SEARCH("croissant",B6)),ISNUMBER(SEARCH("bretzel",B6)),ISNUMBER(SEARCH("bretzle",B6))),C6*2.9,E6*1.3)</f>
        <v>15.001999999999999</v>
      </c>
    </row>
    <row r="7" spans="1:6">
      <c r="A7">
        <v>1.04</v>
      </c>
      <c r="B7" t="s">
        <v>502</v>
      </c>
      <c r="C7">
        <v>8</v>
      </c>
      <c r="D7" s="140">
        <v>1.69</v>
      </c>
      <c r="E7" s="140">
        <f>C7*D7</f>
        <v>13.52</v>
      </c>
      <c r="F7" s="140">
        <f>IF(OR(ISNUMBER(SEARCH("croissant",B7)),ISNUMBER(SEARCH("bretzel",B7)),ISNUMBER(SEARCH("bretzle",B7))),C7*2.9,E7*1.3)</f>
        <v>17.576000000000001</v>
      </c>
    </row>
    <row r="8" spans="1:6">
      <c r="A8">
        <v>1.04</v>
      </c>
      <c r="B8" t="s">
        <v>503</v>
      </c>
      <c r="C8">
        <v>6</v>
      </c>
      <c r="D8" s="140">
        <v>1.78</v>
      </c>
      <c r="E8" s="140">
        <f>C8*D8</f>
        <v>10.68</v>
      </c>
      <c r="F8" s="140">
        <f>IF(OR(ISNUMBER(SEARCH("croissant",B8)),ISNUMBER(SEARCH("bretzel",B8)),ISNUMBER(SEARCH("bretzle",B8))),C8*2.9,E8*1.3)</f>
        <v>13.884</v>
      </c>
    </row>
    <row r="9" spans="1:6">
      <c r="A9">
        <v>1.04</v>
      </c>
      <c r="B9" t="s">
        <v>504</v>
      </c>
      <c r="C9">
        <v>2</v>
      </c>
      <c r="D9" s="140">
        <v>2.4500000000000002</v>
      </c>
      <c r="E9" s="140">
        <f>C9*D9</f>
        <v>4.9000000000000004</v>
      </c>
      <c r="F9" s="140">
        <f>IF(OR(ISNUMBER(SEARCH("croissant",B9)),ISNUMBER(SEARCH("bretzel",B9)),ISNUMBER(SEARCH("bretzle",B9))),C9*2.9,E9*1.3)</f>
        <v>6.370000000000001</v>
      </c>
    </row>
    <row r="10" spans="1:6">
      <c r="A10">
        <v>1.04</v>
      </c>
      <c r="B10" t="s">
        <v>379</v>
      </c>
      <c r="C10">
        <v>32</v>
      </c>
      <c r="D10" s="140">
        <v>0.5</v>
      </c>
      <c r="E10" s="140">
        <f>C10*D10</f>
        <v>16</v>
      </c>
      <c r="F10" s="140">
        <f>IF(OR(ISNUMBER(SEARCH("croissant",B10)),ISNUMBER(SEARCH("bretzel",B10)),ISNUMBER(SEARCH("bretzle",B10))),C10*2.9,E10*1.3)</f>
        <v>20.8</v>
      </c>
    </row>
    <row r="11" spans="1:6">
      <c r="A11">
        <v>1.04</v>
      </c>
      <c r="B11" t="s">
        <v>505</v>
      </c>
      <c r="C11">
        <v>1</v>
      </c>
      <c r="D11" s="140">
        <v>31.25</v>
      </c>
      <c r="E11" s="140">
        <f>C11*D11</f>
        <v>31.25</v>
      </c>
      <c r="F11" s="140">
        <f>IF(OR(ISNUMBER(SEARCH("croissant",B11)),ISNUMBER(SEARCH("bretzel",B11)),ISNUMBER(SEARCH("bretzle",B11))),C11*2.9,E11*1.3)</f>
        <v>40.625</v>
      </c>
    </row>
    <row r="12" spans="1:6">
      <c r="A12">
        <v>1.04</v>
      </c>
      <c r="B12" t="s">
        <v>506</v>
      </c>
      <c r="C12">
        <v>24</v>
      </c>
      <c r="D12" s="140">
        <v>0.55000000000000004</v>
      </c>
      <c r="E12" s="140">
        <f>C12*D12</f>
        <v>13.200000000000001</v>
      </c>
      <c r="F12" s="140">
        <f>IF(OR(ISNUMBER(SEARCH("croissant",B12)),ISNUMBER(SEARCH("bretzel",B12)),ISNUMBER(SEARCH("bretzle",B12))),C12*2.9,E12*1.3)</f>
        <v>17.160000000000004</v>
      </c>
    </row>
    <row r="13" spans="1:6">
      <c r="A13">
        <v>1.04</v>
      </c>
      <c r="B13" t="s">
        <v>507</v>
      </c>
      <c r="C13">
        <v>1</v>
      </c>
      <c r="D13" s="140">
        <v>16.53</v>
      </c>
      <c r="E13" s="140">
        <f>C13*D13</f>
        <v>16.53</v>
      </c>
      <c r="F13" s="140">
        <f>IF(OR(ISNUMBER(SEARCH("croissant",B13)),ISNUMBER(SEARCH("bretzel",B13)),ISNUMBER(SEARCH("bretzle",B13))),C13*2.9,E13*1.3)</f>
        <v>21.489000000000001</v>
      </c>
    </row>
    <row r="14" spans="1:6">
      <c r="A14">
        <v>1.04</v>
      </c>
      <c r="B14" t="s">
        <v>508</v>
      </c>
      <c r="C14">
        <v>1</v>
      </c>
      <c r="D14" s="140">
        <v>4.0599999999999996</v>
      </c>
      <c r="E14" s="140">
        <f>C14*D14</f>
        <v>4.0599999999999996</v>
      </c>
      <c r="F14" s="140">
        <f>IF(OR(ISNUMBER(SEARCH("croissant",B14)),ISNUMBER(SEARCH("bretzel",B14)),ISNUMBER(SEARCH("bretzle",B14))),C14*2.9,E14*1.3)</f>
        <v>5.2779999999999996</v>
      </c>
    </row>
    <row r="15" spans="1:6">
      <c r="A15">
        <v>1.04</v>
      </c>
      <c r="B15" t="s">
        <v>279</v>
      </c>
      <c r="C15">
        <v>2</v>
      </c>
      <c r="D15" s="140">
        <v>1.64</v>
      </c>
      <c r="E15" s="140">
        <f>C15*D15</f>
        <v>3.28</v>
      </c>
      <c r="F15" s="140">
        <f>IF(OR(ISNUMBER(SEARCH("croissant",B15)),ISNUMBER(SEARCH("bretzel",B15)),ISNUMBER(SEARCH("bretzle",B15))),C15*2.9,E15*1.3)</f>
        <v>4.2640000000000002</v>
      </c>
    </row>
    <row r="16" spans="1:6">
      <c r="A16">
        <v>1.04</v>
      </c>
      <c r="B16" t="s">
        <v>272</v>
      </c>
      <c r="C16">
        <v>8</v>
      </c>
      <c r="D16" s="140">
        <v>1.64</v>
      </c>
      <c r="E16" s="140">
        <f>C16*D16</f>
        <v>13.12</v>
      </c>
      <c r="F16" s="140">
        <f>IF(OR(ISNUMBER(SEARCH("croissant",B16)),ISNUMBER(SEARCH("bretzel",B16)),ISNUMBER(SEARCH("bretzle",B16))),C16*2.9,E16*1.3)</f>
        <v>17.056000000000001</v>
      </c>
    </row>
    <row r="17" spans="1:8">
      <c r="A17">
        <v>1.04</v>
      </c>
      <c r="B17" t="s">
        <v>407</v>
      </c>
      <c r="C17">
        <v>2</v>
      </c>
      <c r="D17" s="140">
        <v>2.4700000000000002</v>
      </c>
      <c r="E17" s="140">
        <f>C17*D17</f>
        <v>4.9400000000000004</v>
      </c>
      <c r="F17" s="140">
        <f>IF(OR(ISNUMBER(SEARCH("croissant",B17)),ISNUMBER(SEARCH("bretzel",B17)),ISNUMBER(SEARCH("bretzle",B17))),C17*2.9,E17*1.3)</f>
        <v>6.4220000000000006</v>
      </c>
    </row>
    <row r="18" spans="1:8">
      <c r="A18">
        <v>1.04</v>
      </c>
      <c r="B18" t="s">
        <v>107</v>
      </c>
      <c r="C18">
        <v>2</v>
      </c>
      <c r="D18" s="140">
        <v>3.29</v>
      </c>
      <c r="E18" s="140">
        <f>C18*D18</f>
        <v>6.58</v>
      </c>
      <c r="F18" s="140">
        <f>IF(OR(ISNUMBER(SEARCH("croissant",B18)),ISNUMBER(SEARCH("bretzel",B18)),ISNUMBER(SEARCH("bretzle",B18))),C18*2.9,E18*1.3)</f>
        <v>8.5540000000000003</v>
      </c>
    </row>
    <row r="19" spans="1:8">
      <c r="A19">
        <v>1.04</v>
      </c>
      <c r="B19" t="s">
        <v>273</v>
      </c>
      <c r="C19">
        <v>4</v>
      </c>
      <c r="D19" s="140">
        <v>2.12</v>
      </c>
      <c r="E19" s="140">
        <f>C19*D19</f>
        <v>8.48</v>
      </c>
      <c r="F19" s="140">
        <f>IF(OR(ISNUMBER(SEARCH("croissant",B19)),ISNUMBER(SEARCH("bretzel",B19)),ISNUMBER(SEARCH("bretzle",B19))),C19*2.9,E19*1.3)</f>
        <v>11.024000000000001</v>
      </c>
    </row>
    <row r="20" spans="1:8">
      <c r="A20">
        <v>1.04</v>
      </c>
      <c r="B20" t="s">
        <v>405</v>
      </c>
      <c r="C20">
        <v>2</v>
      </c>
      <c r="D20" s="140">
        <v>3.29</v>
      </c>
      <c r="E20" s="140">
        <f>C20*D20</f>
        <v>6.58</v>
      </c>
      <c r="F20" s="140">
        <f>IF(OR(ISNUMBER(SEARCH("croissant",B20)),ISNUMBER(SEARCH("bretzel",B20)),ISNUMBER(SEARCH("bretzle",B20))),C20*2.9,E20*1.3)</f>
        <v>8.5540000000000003</v>
      </c>
    </row>
    <row r="21" spans="1:8">
      <c r="A21">
        <v>1.04</v>
      </c>
      <c r="B21" t="s">
        <v>443</v>
      </c>
      <c r="C21">
        <v>2</v>
      </c>
      <c r="D21" s="140">
        <v>2.19</v>
      </c>
      <c r="E21" s="140">
        <f>C21*D21</f>
        <v>4.38</v>
      </c>
      <c r="F21" s="140">
        <f>IF(OR(ISNUMBER(SEARCH("croissant",B21)),ISNUMBER(SEARCH("bretzel",B21)),ISNUMBER(SEARCH("bretzle",B21))),C21*2.9,E21*1.3)</f>
        <v>5.694</v>
      </c>
    </row>
    <row r="22" spans="1:8">
      <c r="A22">
        <v>7.04</v>
      </c>
      <c r="B22" t="s">
        <v>510</v>
      </c>
      <c r="C22">
        <v>1</v>
      </c>
      <c r="D22" s="140">
        <v>10.050000000000001</v>
      </c>
      <c r="E22" s="140">
        <f>C22*D22</f>
        <v>10.050000000000001</v>
      </c>
      <c r="F22" s="140">
        <f>IF(OR(ISNUMBER(SEARCH("croissant",B22)),ISNUMBER(SEARCH("bretzel",B22)),ISNUMBER(SEARCH("bretzle",B22))),C22*2.9,E22*1.3)</f>
        <v>13.065000000000001</v>
      </c>
    </row>
    <row r="23" spans="1:8">
      <c r="A23">
        <v>7.04</v>
      </c>
      <c r="B23" t="s">
        <v>414</v>
      </c>
      <c r="C23">
        <v>1</v>
      </c>
      <c r="D23" s="140">
        <v>10.69</v>
      </c>
      <c r="E23" s="140">
        <f>C23*D23</f>
        <v>10.69</v>
      </c>
      <c r="F23" s="140">
        <f>IF(OR(ISNUMBER(SEARCH("croissant",B23)),ISNUMBER(SEARCH("bretzel",B23)),ISNUMBER(SEARCH("bretzle",B23))),C23*2.9,E23*1.3)</f>
        <v>13.897</v>
      </c>
    </row>
    <row r="24" spans="1:8">
      <c r="A24">
        <v>7.04</v>
      </c>
      <c r="B24" t="s">
        <v>511</v>
      </c>
      <c r="C24">
        <v>1</v>
      </c>
      <c r="D24" s="140">
        <v>10.050000000000001</v>
      </c>
      <c r="E24" s="140">
        <f>C24*D24</f>
        <v>10.050000000000001</v>
      </c>
      <c r="F24" s="140">
        <f>IF(OR(ISNUMBER(SEARCH("croissant",B24)),ISNUMBER(SEARCH("bretzel",B24)),ISNUMBER(SEARCH("bretzle",B24))),C24*2.9,E24*1.3)</f>
        <v>13.065000000000001</v>
      </c>
    </row>
    <row r="25" spans="1:8">
      <c r="A25">
        <v>7.04</v>
      </c>
      <c r="B25" t="s">
        <v>512</v>
      </c>
      <c r="C25">
        <v>1</v>
      </c>
      <c r="D25" s="140">
        <v>3.99</v>
      </c>
      <c r="E25" s="140">
        <f>C25*D25</f>
        <v>3.99</v>
      </c>
      <c r="F25" s="140">
        <f>IF(OR(ISNUMBER(SEARCH("croissant",B25)),ISNUMBER(SEARCH("bretzel",B25)),ISNUMBER(SEARCH("bretzle",B25))),C25*2.9,E25*1.3)</f>
        <v>2.9</v>
      </c>
      <c r="G25">
        <f>F25*10</f>
        <v>29</v>
      </c>
      <c r="H25" s="144">
        <f>G25-F25</f>
        <v>26.1</v>
      </c>
    </row>
    <row r="26" spans="1:8">
      <c r="A26">
        <v>7.04</v>
      </c>
      <c r="B26" t="s">
        <v>514</v>
      </c>
      <c r="C26">
        <v>1</v>
      </c>
      <c r="D26" s="140">
        <v>12.99</v>
      </c>
      <c r="E26" s="140">
        <f>C26*D26</f>
        <v>12.99</v>
      </c>
      <c r="F26" s="140">
        <f>IF(OR(ISNUMBER(SEARCH("croissant",B26)),ISNUMBER(SEARCH("bretzel",B26)),ISNUMBER(SEARCH("bretzle",B26))),C26*2.9,E26*1.3)</f>
        <v>16.887</v>
      </c>
    </row>
    <row r="27" spans="1:8">
      <c r="A27">
        <v>7.04</v>
      </c>
      <c r="B27" t="s">
        <v>515</v>
      </c>
      <c r="C27">
        <v>4</v>
      </c>
      <c r="D27" s="140">
        <v>2.06</v>
      </c>
      <c r="E27" s="140">
        <f>C27*D27</f>
        <v>8.24</v>
      </c>
      <c r="F27" s="140">
        <f>IF(OR(ISNUMBER(SEARCH("croissant",B27)),ISNUMBER(SEARCH("bretzel",B27)),ISNUMBER(SEARCH("bretzle",B27))),C27*2.9,E27*1.3)</f>
        <v>10.712000000000002</v>
      </c>
    </row>
    <row r="28" spans="1:8">
      <c r="A28">
        <v>7.04</v>
      </c>
      <c r="B28" t="s">
        <v>516</v>
      </c>
      <c r="C28">
        <v>1</v>
      </c>
      <c r="D28" s="140">
        <v>8.2899999999999991</v>
      </c>
      <c r="E28" s="140">
        <f>C28*D28</f>
        <v>8.2899999999999991</v>
      </c>
      <c r="F28" s="140">
        <f>IF(OR(ISNUMBER(SEARCH("croissant",B28)),ISNUMBER(SEARCH("bretzel",B28)),ISNUMBER(SEARCH("bretzle",B28))),C28*2.9,E28*1.3)</f>
        <v>10.776999999999999</v>
      </c>
    </row>
    <row r="29" spans="1:8">
      <c r="A29">
        <v>7.04</v>
      </c>
      <c r="B29" t="s">
        <v>517</v>
      </c>
      <c r="C29">
        <v>1</v>
      </c>
      <c r="D29" s="140">
        <v>12.4</v>
      </c>
      <c r="E29" s="140">
        <f>C29*D29</f>
        <v>12.4</v>
      </c>
      <c r="F29" s="140">
        <f>IF(OR(ISNUMBER(SEARCH("croissant",B29)),ISNUMBER(SEARCH("bretzel",B29)),ISNUMBER(SEARCH("bretzle",B29))),C29*2.9,E29*1.3)</f>
        <v>16.12</v>
      </c>
    </row>
    <row r="30" spans="1:8">
      <c r="A30">
        <v>7.04</v>
      </c>
      <c r="B30" t="s">
        <v>518</v>
      </c>
      <c r="C30">
        <v>1</v>
      </c>
      <c r="D30" s="140">
        <v>12.4</v>
      </c>
      <c r="E30" s="140">
        <f>C30*D30</f>
        <v>12.4</v>
      </c>
      <c r="F30" s="140">
        <f>IF(OR(ISNUMBER(SEARCH("croissant",B30)),ISNUMBER(SEARCH("bretzel",B30)),ISNUMBER(SEARCH("bretzle",B30))),C30*2.9,E30*1.3)</f>
        <v>16.12</v>
      </c>
    </row>
    <row r="31" spans="1:8">
      <c r="A31">
        <v>7.04</v>
      </c>
      <c r="B31" t="s">
        <v>519</v>
      </c>
      <c r="C31">
        <v>1</v>
      </c>
      <c r="D31" s="140">
        <v>12.9</v>
      </c>
      <c r="E31" s="140">
        <f>C31*D31</f>
        <v>12.9</v>
      </c>
      <c r="F31" s="140">
        <f>IF(OR(ISNUMBER(SEARCH("croissant",B31)),ISNUMBER(SEARCH("bretzel",B31)),ISNUMBER(SEARCH("bretzle",B31))),C31*2.9,E31*1.3)</f>
        <v>16.77</v>
      </c>
    </row>
    <row r="32" spans="1:8">
      <c r="A32">
        <v>7.04</v>
      </c>
      <c r="B32" t="s">
        <v>520</v>
      </c>
      <c r="C32">
        <v>1</v>
      </c>
      <c r="D32" s="140">
        <v>12.9</v>
      </c>
      <c r="E32" s="140">
        <f>C32*D32</f>
        <v>12.9</v>
      </c>
      <c r="F32" s="140">
        <f>IF(OR(ISNUMBER(SEARCH("croissant",B32)),ISNUMBER(SEARCH("bretzel",B32)),ISNUMBER(SEARCH("bretzle",B32))),C32*2.9,E32*1.3)</f>
        <v>16.77</v>
      </c>
    </row>
    <row r="33" spans="1:6">
      <c r="A33">
        <v>7.04</v>
      </c>
      <c r="B33" t="s">
        <v>521</v>
      </c>
      <c r="C33">
        <v>1</v>
      </c>
      <c r="D33" s="140">
        <v>11.54</v>
      </c>
      <c r="E33" s="140">
        <f>C33*D33</f>
        <v>11.54</v>
      </c>
      <c r="F33" s="140">
        <f>IF(OR(ISNUMBER(SEARCH("croissant",B33)),ISNUMBER(SEARCH("bretzel",B33)),ISNUMBER(SEARCH("bretzle",B33))),C33*2.9,E33*1.3)</f>
        <v>15.001999999999999</v>
      </c>
    </row>
    <row r="34" spans="1:6">
      <c r="A34">
        <v>7.04</v>
      </c>
      <c r="B34" t="s">
        <v>522</v>
      </c>
      <c r="C34">
        <v>2</v>
      </c>
      <c r="D34" s="140">
        <v>1.81</v>
      </c>
      <c r="E34" s="140">
        <f>C34*D34</f>
        <v>3.62</v>
      </c>
      <c r="F34" s="140">
        <f>IF(OR(ISNUMBER(SEARCH("croissant",B34)),ISNUMBER(SEARCH("bretzel",B34)),ISNUMBER(SEARCH("bretzle",B34))),C34*2.9,E34*1.3)</f>
        <v>4.7060000000000004</v>
      </c>
    </row>
    <row r="35" spans="1:6">
      <c r="A35">
        <v>7.04</v>
      </c>
      <c r="B35" t="s">
        <v>523</v>
      </c>
      <c r="C35">
        <v>2</v>
      </c>
      <c r="D35" s="140">
        <v>1.88</v>
      </c>
      <c r="E35" s="140">
        <f>C35*D35</f>
        <v>3.76</v>
      </c>
      <c r="F35" s="140">
        <f>IF(OR(ISNUMBER(SEARCH("croissant",B35)),ISNUMBER(SEARCH("bretzel",B35)),ISNUMBER(SEARCH("bretzle",B35))),C35*2.9,E35*1.3)</f>
        <v>4.8879999999999999</v>
      </c>
    </row>
    <row r="36" spans="1:6">
      <c r="A36">
        <v>7.04</v>
      </c>
      <c r="B36" t="s">
        <v>285</v>
      </c>
      <c r="C36">
        <v>1</v>
      </c>
      <c r="D36" s="140">
        <v>10.220000000000001</v>
      </c>
      <c r="E36" s="140">
        <f>C36*D36</f>
        <v>10.220000000000001</v>
      </c>
      <c r="F36" s="140">
        <f>IF(OR(ISNUMBER(SEARCH("croissant",B36)),ISNUMBER(SEARCH("bretzel",B36)),ISNUMBER(SEARCH("bretzle",B36))),C36*2.9,E36*1.3)</f>
        <v>13.286000000000001</v>
      </c>
    </row>
    <row r="37" spans="1:6">
      <c r="A37">
        <v>7.04</v>
      </c>
      <c r="B37" t="s">
        <v>524</v>
      </c>
      <c r="C37">
        <v>48</v>
      </c>
      <c r="D37" s="140">
        <v>1.79</v>
      </c>
      <c r="E37" s="140">
        <f>C37*D37</f>
        <v>85.92</v>
      </c>
      <c r="F37" s="140">
        <f>IF(OR(ISNUMBER(SEARCH("croissant",B37)),ISNUMBER(SEARCH("bretzel",B37)),ISNUMBER(SEARCH("bretzle",B37))),C37*2.9,E37*1.3)</f>
        <v>111.69600000000001</v>
      </c>
    </row>
    <row r="38" spans="1:6">
      <c r="A38">
        <v>7.04</v>
      </c>
      <c r="B38" t="s">
        <v>525</v>
      </c>
      <c r="C38">
        <v>6</v>
      </c>
      <c r="D38" s="140">
        <v>1.99</v>
      </c>
      <c r="E38" s="140">
        <f>C38*D38</f>
        <v>11.94</v>
      </c>
      <c r="F38" s="140">
        <f>IF(OR(ISNUMBER(SEARCH("croissant",B38)),ISNUMBER(SEARCH("bretzel",B38)),ISNUMBER(SEARCH("bretzle",B38))),C38*2.9,E38*1.3)</f>
        <v>15.522</v>
      </c>
    </row>
    <row r="39" spans="1:6">
      <c r="A39">
        <v>7.04</v>
      </c>
      <c r="B39" t="s">
        <v>526</v>
      </c>
      <c r="C39">
        <v>6</v>
      </c>
      <c r="D39" s="140">
        <v>1.89</v>
      </c>
      <c r="E39" s="140">
        <f>C39*D39</f>
        <v>11.34</v>
      </c>
      <c r="F39" s="140">
        <f>IF(OR(ISNUMBER(SEARCH("croissant",B39)),ISNUMBER(SEARCH("bretzel",B39)),ISNUMBER(SEARCH("bretzle",B39))),C39*2.9,E39*1.3)</f>
        <v>14.742000000000001</v>
      </c>
    </row>
    <row r="40" spans="1:6">
      <c r="A40">
        <v>7.04</v>
      </c>
      <c r="B40" t="s">
        <v>527</v>
      </c>
      <c r="C40">
        <v>6</v>
      </c>
      <c r="D40" s="140">
        <v>1.99</v>
      </c>
      <c r="E40" s="140">
        <f>C40*D40</f>
        <v>11.94</v>
      </c>
      <c r="F40" s="140">
        <f>IF(OR(ISNUMBER(SEARCH("croissant",B40)),ISNUMBER(SEARCH("bretzel",B40)),ISNUMBER(SEARCH("bretzle",B40))),C40*2.9,E40*1.3)</f>
        <v>15.522</v>
      </c>
    </row>
    <row r="41" spans="1:6">
      <c r="A41">
        <v>7.04</v>
      </c>
      <c r="B41" t="s">
        <v>528</v>
      </c>
      <c r="C41">
        <v>2</v>
      </c>
      <c r="D41" s="140">
        <v>16.53</v>
      </c>
      <c r="E41" s="140">
        <f>C41*D41</f>
        <v>33.06</v>
      </c>
      <c r="F41" s="140">
        <f>IF(OR(ISNUMBER(SEARCH("croissant",B41)),ISNUMBER(SEARCH("bretzel",B41)),ISNUMBER(SEARCH("bretzle",B41))),C41*2.9,E41*1.3)</f>
        <v>42.978000000000002</v>
      </c>
    </row>
    <row r="42" spans="1:6">
      <c r="A42">
        <v>7.04</v>
      </c>
      <c r="B42" t="s">
        <v>530</v>
      </c>
      <c r="C42">
        <v>2</v>
      </c>
      <c r="D42" s="140">
        <v>1.97</v>
      </c>
      <c r="E42" s="140">
        <f>C42*D42</f>
        <v>3.94</v>
      </c>
      <c r="F42" s="140">
        <f>IF(OR(ISNUMBER(SEARCH("croissant",B42)),ISNUMBER(SEARCH("bretzel",B42)),ISNUMBER(SEARCH("bretzle",B42))),C42*2.9,E42*1.3)</f>
        <v>5.1219999999999999</v>
      </c>
    </row>
    <row r="43" spans="1:6">
      <c r="A43">
        <v>7.04</v>
      </c>
      <c r="B43" t="s">
        <v>307</v>
      </c>
      <c r="C43">
        <v>3</v>
      </c>
      <c r="D43" s="140">
        <v>8.24</v>
      </c>
      <c r="E43" s="140">
        <f>C43*D43</f>
        <v>24.72</v>
      </c>
      <c r="F43" s="140">
        <f>IF(OR(ISNUMBER(SEARCH("croissant",B43)),ISNUMBER(SEARCH("bretzel",B43)),ISNUMBER(SEARCH("bretzle",B43))),C43*2.9,E43*1.3)</f>
        <v>32.136000000000003</v>
      </c>
    </row>
    <row r="44" spans="1:6">
      <c r="A44">
        <v>7.04</v>
      </c>
      <c r="B44" t="s">
        <v>531</v>
      </c>
      <c r="C44">
        <v>4</v>
      </c>
      <c r="D44" s="140">
        <v>1.64</v>
      </c>
      <c r="E44" s="140">
        <f>C44*D44</f>
        <v>6.56</v>
      </c>
      <c r="F44" s="140">
        <f>IF(OR(ISNUMBER(SEARCH("croissant",B44)),ISNUMBER(SEARCH("bretzel",B44)),ISNUMBER(SEARCH("bretzle",B44))),C44*2.9,E44*1.3)</f>
        <v>8.5280000000000005</v>
      </c>
    </row>
    <row r="45" spans="1:6">
      <c r="A45">
        <v>7.04</v>
      </c>
      <c r="B45" t="s">
        <v>532</v>
      </c>
      <c r="C45">
        <v>2</v>
      </c>
      <c r="D45" s="140">
        <v>4.17</v>
      </c>
      <c r="E45" s="140">
        <f>C45*D45</f>
        <v>8.34</v>
      </c>
      <c r="F45" s="140">
        <f>IF(OR(ISNUMBER(SEARCH("croissant",B45)),ISNUMBER(SEARCH("bretzel",B45)),ISNUMBER(SEARCH("bretzle",B45))),C45*2.9,E45*1.3)</f>
        <v>10.842000000000001</v>
      </c>
    </row>
    <row r="46" spans="1:6">
      <c r="A46">
        <v>7.04</v>
      </c>
      <c r="B46" t="s">
        <v>450</v>
      </c>
      <c r="C46">
        <v>1</v>
      </c>
      <c r="D46" s="140">
        <v>1.86</v>
      </c>
      <c r="E46" s="140">
        <f>C46*D46</f>
        <v>1.86</v>
      </c>
      <c r="F46" s="140">
        <f>IF(OR(ISNUMBER(SEARCH("croissant",B46)),ISNUMBER(SEARCH("bretzel",B46)),ISNUMBER(SEARCH("bretzle",B46))),C46*2.9,E46*1.3)</f>
        <v>2.4180000000000001</v>
      </c>
    </row>
    <row r="47" spans="1:6">
      <c r="A47">
        <v>7.04</v>
      </c>
      <c r="B47" t="s">
        <v>281</v>
      </c>
      <c r="C47">
        <v>3</v>
      </c>
      <c r="D47" s="140">
        <v>2.19</v>
      </c>
      <c r="E47" s="140">
        <f>C47*D47</f>
        <v>6.57</v>
      </c>
      <c r="F47" s="140">
        <f>IF(OR(ISNUMBER(SEARCH("croissant",B47)),ISNUMBER(SEARCH("bretzel",B47)),ISNUMBER(SEARCH("bretzle",B47))),C47*2.9,E47*1.3)</f>
        <v>8.5410000000000004</v>
      </c>
    </row>
    <row r="48" spans="1:6">
      <c r="A48">
        <v>9.0399999999999991</v>
      </c>
      <c r="B48" t="s">
        <v>534</v>
      </c>
      <c r="C48">
        <v>16</v>
      </c>
      <c r="D48" s="140">
        <v>0.65</v>
      </c>
      <c r="E48" s="140">
        <f>C48*D48</f>
        <v>10.4</v>
      </c>
      <c r="F48" s="140">
        <f>IF(OR(ISNUMBER(SEARCH("croissant",B48)),ISNUMBER(SEARCH("bretzel",B48)),ISNUMBER(SEARCH("bretzle",B48))),C48*2.9,E48*1.3)</f>
        <v>13.520000000000001</v>
      </c>
    </row>
    <row r="49" spans="1:6">
      <c r="A49">
        <v>9.0399999999999991</v>
      </c>
      <c r="B49" t="s">
        <v>536</v>
      </c>
      <c r="C49">
        <v>1</v>
      </c>
      <c r="D49" s="140">
        <v>1.81</v>
      </c>
      <c r="E49" s="140">
        <f>C49*D49</f>
        <v>1.81</v>
      </c>
      <c r="F49" s="140">
        <f>IF(OR(ISNUMBER(SEARCH("croissant",B49)),ISNUMBER(SEARCH("bretzel",B49)),ISNUMBER(SEARCH("bretzle",B49))),C49*2.9,E49*1.3)</f>
        <v>2.3530000000000002</v>
      </c>
    </row>
    <row r="50" spans="1:6">
      <c r="A50">
        <v>9.0399999999999991</v>
      </c>
      <c r="B50" t="s">
        <v>537</v>
      </c>
      <c r="C50">
        <v>1</v>
      </c>
      <c r="D50" s="140">
        <v>11.54</v>
      </c>
      <c r="E50" s="140">
        <f>C50*D50</f>
        <v>11.54</v>
      </c>
      <c r="F50" s="140">
        <f>IF(OR(ISNUMBER(SEARCH("croissant",B50)),ISNUMBER(SEARCH("bretzel",B50)),ISNUMBER(SEARCH("bretzle",B50))),C50*2.9,E50*1.3)</f>
        <v>15.001999999999999</v>
      </c>
    </row>
    <row r="51" spans="1:6">
      <c r="A51">
        <v>9.0399999999999991</v>
      </c>
      <c r="B51" t="s">
        <v>538</v>
      </c>
      <c r="C51">
        <v>1</v>
      </c>
      <c r="D51" s="140">
        <v>6.49</v>
      </c>
      <c r="E51" s="140">
        <f>C51*D51</f>
        <v>6.49</v>
      </c>
      <c r="F51" s="140">
        <f>IF(OR(ISNUMBER(SEARCH("croissant",B51)),ISNUMBER(SEARCH("bretzel",B51)),ISNUMBER(SEARCH("bretzle",B51))),C51*2.9,E51*1.3)</f>
        <v>8.4370000000000012</v>
      </c>
    </row>
    <row r="52" spans="1:6">
      <c r="A52">
        <v>9.0399999999999991</v>
      </c>
      <c r="B52" t="s">
        <v>540</v>
      </c>
      <c r="C52">
        <v>12</v>
      </c>
      <c r="D52" s="140">
        <v>1.79</v>
      </c>
      <c r="E52" s="140">
        <f>C52*D52</f>
        <v>21.48</v>
      </c>
      <c r="F52" s="140">
        <f>IF(OR(ISNUMBER(SEARCH("croissant",B52)),ISNUMBER(SEARCH("bretzel",B52)),ISNUMBER(SEARCH("bretzle",B52))),C52*2.9,E52*1.3)</f>
        <v>27.924000000000003</v>
      </c>
    </row>
    <row r="53" spans="1:6">
      <c r="A53">
        <v>9.0399999999999991</v>
      </c>
      <c r="B53" t="s">
        <v>213</v>
      </c>
      <c r="C53">
        <v>4</v>
      </c>
      <c r="D53" s="140">
        <v>2.12</v>
      </c>
      <c r="E53" s="140">
        <f>C53*D53</f>
        <v>8.48</v>
      </c>
      <c r="F53" s="140">
        <f>IF(OR(ISNUMBER(SEARCH("croissant",B53)),ISNUMBER(SEARCH("bretzel",B53)),ISNUMBER(SEARCH("bretzle",B53))),C53*2.9,E53*1.3)</f>
        <v>11.024000000000001</v>
      </c>
    </row>
    <row r="54" spans="1:6">
      <c r="A54">
        <v>9.0399999999999991</v>
      </c>
      <c r="B54" t="s">
        <v>541</v>
      </c>
      <c r="C54">
        <v>1</v>
      </c>
      <c r="D54" s="140">
        <v>17.440000000000001</v>
      </c>
      <c r="E54" s="140">
        <f>C54*D54</f>
        <v>17.440000000000001</v>
      </c>
      <c r="F54" s="140">
        <f>IF(OR(ISNUMBER(SEARCH("croissant",B54)),ISNUMBER(SEARCH("bretzel",B54)),ISNUMBER(SEARCH("bretzle",B54))),C54*2.9,E54*1.3)</f>
        <v>22.672000000000004</v>
      </c>
    </row>
    <row r="55" spans="1:6">
      <c r="A55">
        <v>9.0399999999999991</v>
      </c>
      <c r="B55" t="s">
        <v>542</v>
      </c>
      <c r="C55">
        <v>1</v>
      </c>
      <c r="D55" s="140">
        <v>31.25</v>
      </c>
      <c r="E55" s="140">
        <f>C55*D55</f>
        <v>31.25</v>
      </c>
      <c r="F55" s="140">
        <f>IF(OR(ISNUMBER(SEARCH("croissant",B55)),ISNUMBER(SEARCH("bretzel",B55)),ISNUMBER(SEARCH("bretzle",B55))),C55*2.9,E55*1.3)</f>
        <v>40.625</v>
      </c>
    </row>
    <row r="56" spans="1:6">
      <c r="A56">
        <v>9.0399999999999991</v>
      </c>
      <c r="B56" t="s">
        <v>274</v>
      </c>
      <c r="C56">
        <v>3</v>
      </c>
      <c r="D56" s="140">
        <v>1.89</v>
      </c>
      <c r="E56" s="140">
        <f>C56*D56</f>
        <v>5.67</v>
      </c>
      <c r="F56" s="140">
        <f>IF(OR(ISNUMBER(SEARCH("croissant",B56)),ISNUMBER(SEARCH("bretzel",B56)),ISNUMBER(SEARCH("bretzle",B56))),C56*2.9,E56*1.3)</f>
        <v>7.3710000000000004</v>
      </c>
    </row>
    <row r="57" spans="1:6">
      <c r="A57">
        <v>9.0399999999999991</v>
      </c>
      <c r="B57" t="s">
        <v>543</v>
      </c>
      <c r="C57">
        <v>1</v>
      </c>
      <c r="D57" s="140">
        <v>10.050000000000001</v>
      </c>
      <c r="E57" s="140">
        <f>C57*D57</f>
        <v>10.050000000000001</v>
      </c>
      <c r="F57" s="140">
        <f>IF(OR(ISNUMBER(SEARCH("croissant",B57)),ISNUMBER(SEARCH("bretzel",B57)),ISNUMBER(SEARCH("bretzle",B57))),C57*2.9,E57*1.3)</f>
        <v>13.065000000000001</v>
      </c>
    </row>
    <row r="58" spans="1:6">
      <c r="A58">
        <v>9.0399999999999991</v>
      </c>
      <c r="B58" t="s">
        <v>545</v>
      </c>
      <c r="C58">
        <v>2</v>
      </c>
      <c r="D58" s="140">
        <v>2.06</v>
      </c>
      <c r="E58" s="140">
        <f>C58*D58</f>
        <v>4.12</v>
      </c>
      <c r="F58" s="140">
        <f>IF(OR(ISNUMBER(SEARCH("croissant",B58)),ISNUMBER(SEARCH("bretzel",B58)),ISNUMBER(SEARCH("bretzle",B58))),C58*2.9,E58*1.3)</f>
        <v>5.3560000000000008</v>
      </c>
    </row>
    <row r="59" spans="1:6">
      <c r="A59">
        <v>9.0399999999999991</v>
      </c>
      <c r="B59" t="s">
        <v>496</v>
      </c>
      <c r="C59">
        <v>3</v>
      </c>
      <c r="D59" s="140">
        <v>1.59</v>
      </c>
      <c r="E59" s="140">
        <f>C59*D59</f>
        <v>4.7700000000000005</v>
      </c>
      <c r="F59" s="140">
        <f>IF(OR(ISNUMBER(SEARCH("croissant",B59)),ISNUMBER(SEARCH("bretzel",B59)),ISNUMBER(SEARCH("bretzle",B59))),C59*2.9,E59*1.3)</f>
        <v>6.2010000000000005</v>
      </c>
    </row>
    <row r="60" spans="1:6">
      <c r="A60">
        <v>9.0399999999999991</v>
      </c>
      <c r="B60" t="s">
        <v>546</v>
      </c>
      <c r="C60">
        <v>4</v>
      </c>
      <c r="D60" s="140">
        <v>1.78</v>
      </c>
      <c r="E60" s="140">
        <f>C60*D60</f>
        <v>7.12</v>
      </c>
      <c r="F60" s="140">
        <f>IF(OR(ISNUMBER(SEARCH("croissant",B60)),ISNUMBER(SEARCH("bretzel",B60)),ISNUMBER(SEARCH("bretzle",B60))),C60*2.9,E60*1.3)</f>
        <v>9.2560000000000002</v>
      </c>
    </row>
    <row r="61" spans="1:6">
      <c r="A61">
        <v>9.0399999999999991</v>
      </c>
      <c r="B61" t="s">
        <v>547</v>
      </c>
      <c r="C61">
        <v>2</v>
      </c>
      <c r="D61" s="140">
        <v>1.99</v>
      </c>
      <c r="E61" s="140">
        <f>C61*D61</f>
        <v>3.98</v>
      </c>
      <c r="F61" s="140">
        <f>IF(OR(ISNUMBER(SEARCH("croissant",B61)),ISNUMBER(SEARCH("bretzel",B61)),ISNUMBER(SEARCH("bretzle",B61))),C61*2.9,E61*1.3)</f>
        <v>5.1740000000000004</v>
      </c>
    </row>
    <row r="62" spans="1:6">
      <c r="A62">
        <v>9.0399999999999991</v>
      </c>
      <c r="B62" t="s">
        <v>548</v>
      </c>
      <c r="C62">
        <v>4</v>
      </c>
      <c r="D62" s="140">
        <v>1.79</v>
      </c>
      <c r="E62" s="140">
        <f>C62*D62</f>
        <v>7.16</v>
      </c>
      <c r="F62" s="140">
        <f>IF(OR(ISNUMBER(SEARCH("croissant",B62)),ISNUMBER(SEARCH("bretzel",B62)),ISNUMBER(SEARCH("bretzle",B62))),C62*2.9,E62*1.3)</f>
        <v>9.3079999999999998</v>
      </c>
    </row>
    <row r="63" spans="1:6">
      <c r="A63">
        <v>9.0399999999999991</v>
      </c>
      <c r="B63" t="s">
        <v>549</v>
      </c>
      <c r="C63">
        <v>2</v>
      </c>
      <c r="D63" s="140">
        <v>1.99</v>
      </c>
      <c r="E63" s="140">
        <f>C63*D63</f>
        <v>3.98</v>
      </c>
      <c r="F63" s="140">
        <f>IF(OR(ISNUMBER(SEARCH("croissant",B63)),ISNUMBER(SEARCH("bretzel",B63)),ISNUMBER(SEARCH("bretzle",B63))),C63*2.9,E63*1.3)</f>
        <v>5.1740000000000004</v>
      </c>
    </row>
    <row r="64" spans="1:6">
      <c r="A64">
        <v>9.0399999999999991</v>
      </c>
      <c r="B64" t="s">
        <v>550</v>
      </c>
      <c r="C64">
        <v>1</v>
      </c>
      <c r="D64" s="140">
        <v>14.9</v>
      </c>
      <c r="E64" s="140">
        <f>C64*D64</f>
        <v>14.9</v>
      </c>
      <c r="F64" s="140">
        <f>IF(OR(ISNUMBER(SEARCH("croissant",B64)),ISNUMBER(SEARCH("bretzel",B64)),ISNUMBER(SEARCH("bretzle",B64))),C64*2.9,E64*1.3)</f>
        <v>19.37</v>
      </c>
    </row>
    <row r="65" spans="1:8">
      <c r="A65">
        <v>9.0399999999999991</v>
      </c>
      <c r="B65" t="s">
        <v>551</v>
      </c>
      <c r="C65">
        <v>1</v>
      </c>
      <c r="D65" s="140">
        <v>14.9</v>
      </c>
      <c r="E65" s="140">
        <f>C65*D65</f>
        <v>14.9</v>
      </c>
      <c r="F65" s="140">
        <f>IF(OR(ISNUMBER(SEARCH("croissant",B65)),ISNUMBER(SEARCH("bretzel",B65)),ISNUMBER(SEARCH("bretzle",B65))),C65*2.9,E65*1.3)</f>
        <v>19.37</v>
      </c>
    </row>
    <row r="66" spans="1:8">
      <c r="A66">
        <v>9.0399999999999991</v>
      </c>
      <c r="B66" t="s">
        <v>552</v>
      </c>
      <c r="C66">
        <v>1</v>
      </c>
      <c r="D66" s="140">
        <v>14.9</v>
      </c>
      <c r="E66" s="140">
        <f>C66*D66</f>
        <v>14.9</v>
      </c>
      <c r="F66" s="140">
        <f>IF(OR(ISNUMBER(SEARCH("croissant",B66)),ISNUMBER(SEARCH("bretzel",B66)),ISNUMBER(SEARCH("bretzle",B66))),C66*2.9,E66*1.3)</f>
        <v>19.37</v>
      </c>
    </row>
    <row r="67" spans="1:8">
      <c r="A67">
        <v>9.0399999999999991</v>
      </c>
      <c r="B67" t="s">
        <v>553</v>
      </c>
      <c r="C67">
        <v>1</v>
      </c>
      <c r="D67" s="140">
        <v>14.9</v>
      </c>
      <c r="E67" s="140">
        <f>C67*D67</f>
        <v>14.9</v>
      </c>
      <c r="F67" s="140">
        <f>IF(OR(ISNUMBER(SEARCH("croissant",B67)),ISNUMBER(SEARCH("bretzel",B67)),ISNUMBER(SEARCH("bretzle",B67))),C67*2.9,E67*1.3)</f>
        <v>19.37</v>
      </c>
    </row>
    <row r="68" spans="1:8">
      <c r="A68">
        <v>9.0399999999999991</v>
      </c>
      <c r="B68" t="s">
        <v>554</v>
      </c>
      <c r="C68">
        <v>1</v>
      </c>
      <c r="D68" s="140">
        <v>3.99</v>
      </c>
      <c r="E68" s="140">
        <f>C68*D68</f>
        <v>3.99</v>
      </c>
      <c r="F68" s="140">
        <f>IF(OR(ISNUMBER(SEARCH("croissant",B68)),ISNUMBER(SEARCH("bretzel",B68)),ISNUMBER(SEARCH("bretzle",B68))),C68*2.9,E68*1.3)</f>
        <v>2.9</v>
      </c>
      <c r="G68">
        <f>F68*10</f>
        <v>29</v>
      </c>
      <c r="H68" s="144">
        <f>G68-F68</f>
        <v>26.1</v>
      </c>
    </row>
    <row r="69" spans="1:8">
      <c r="A69">
        <v>9.0399999999999991</v>
      </c>
      <c r="B69" t="s">
        <v>555</v>
      </c>
      <c r="C69">
        <v>1</v>
      </c>
      <c r="D69" s="140">
        <v>4.55</v>
      </c>
      <c r="E69" s="140">
        <f>C69*D69</f>
        <v>4.55</v>
      </c>
      <c r="F69" s="140">
        <f>IF(OR(ISNUMBER(SEARCH("croissant",B69)),ISNUMBER(SEARCH("bretzel",B69)),ISNUMBER(SEARCH("bretzle",B69))),C69*2.9,E69*1.3)</f>
        <v>5.915</v>
      </c>
    </row>
    <row r="70" spans="1:8">
      <c r="A70">
        <v>9.0399999999999991</v>
      </c>
      <c r="B70" t="s">
        <v>556</v>
      </c>
      <c r="C70">
        <v>1</v>
      </c>
      <c r="D70" s="140">
        <v>4.55</v>
      </c>
      <c r="E70" s="140">
        <f>C70*D70</f>
        <v>4.55</v>
      </c>
      <c r="F70" s="140">
        <f>IF(OR(ISNUMBER(SEARCH("croissant",B70)),ISNUMBER(SEARCH("bretzel",B70)),ISNUMBER(SEARCH("bretzle",B70))),C70*2.9,E70*1.3)</f>
        <v>5.915</v>
      </c>
    </row>
    <row r="71" spans="1:8">
      <c r="A71">
        <v>9.0399999999999991</v>
      </c>
      <c r="B71" t="s">
        <v>557</v>
      </c>
      <c r="C71">
        <v>1</v>
      </c>
      <c r="D71" s="140">
        <v>1.88</v>
      </c>
      <c r="E71" s="140">
        <f>C71*D71</f>
        <v>1.88</v>
      </c>
      <c r="F71" s="140">
        <f>IF(OR(ISNUMBER(SEARCH("croissant",B71)),ISNUMBER(SEARCH("bretzel",B71)),ISNUMBER(SEARCH("bretzle",B71))),C71*2.9,E71*1.3)</f>
        <v>2.444</v>
      </c>
    </row>
    <row r="72" spans="1:8">
      <c r="A72">
        <v>9.0399999999999991</v>
      </c>
      <c r="B72" t="s">
        <v>558</v>
      </c>
      <c r="C72">
        <v>1</v>
      </c>
      <c r="D72" s="140">
        <v>8.2799999999999994</v>
      </c>
      <c r="E72" s="140">
        <f>C72*D72</f>
        <v>8.2799999999999994</v>
      </c>
      <c r="F72" s="140">
        <f>IF(OR(ISNUMBER(SEARCH("croissant",B72)),ISNUMBER(SEARCH("bretzel",B72)),ISNUMBER(SEARCH("bretzle",B72))),C72*2.9,E72*1.3)</f>
        <v>10.763999999999999</v>
      </c>
    </row>
    <row r="73" spans="1:8">
      <c r="A73">
        <v>9.0399999999999991</v>
      </c>
      <c r="B73" t="s">
        <v>559</v>
      </c>
      <c r="C73">
        <v>2</v>
      </c>
      <c r="D73" s="140">
        <v>2.04</v>
      </c>
      <c r="E73" s="140">
        <f>C73*D73</f>
        <v>4.08</v>
      </c>
      <c r="F73" s="140">
        <f>IF(OR(ISNUMBER(SEARCH("croissant",B73)),ISNUMBER(SEARCH("bretzel",B73)),ISNUMBER(SEARCH("bretzle",B73))),C73*2.9,E73*1.3)</f>
        <v>5.3040000000000003</v>
      </c>
    </row>
    <row r="74" spans="1:8">
      <c r="A74">
        <v>9.0399999999999991</v>
      </c>
      <c r="B74" t="s">
        <v>560</v>
      </c>
      <c r="C74">
        <v>1</v>
      </c>
      <c r="D74" s="140">
        <v>3.29</v>
      </c>
      <c r="E74" s="140">
        <f>C74*D74</f>
        <v>3.29</v>
      </c>
      <c r="F74" s="140">
        <f>IF(OR(ISNUMBER(SEARCH("croissant",B74)),ISNUMBER(SEARCH("bretzel",B74)),ISNUMBER(SEARCH("bretzle",B74))),C74*2.9,E74*1.3)</f>
        <v>4.2770000000000001</v>
      </c>
    </row>
    <row r="75" spans="1:8">
      <c r="A75">
        <v>9.0399999999999991</v>
      </c>
      <c r="B75" t="s">
        <v>561</v>
      </c>
      <c r="C75">
        <v>1</v>
      </c>
      <c r="D75" s="140">
        <v>2.74</v>
      </c>
      <c r="E75" s="140">
        <f>C75*D75</f>
        <v>2.74</v>
      </c>
      <c r="F75" s="140">
        <f>IF(OR(ISNUMBER(SEARCH("croissant",B75)),ISNUMBER(SEARCH("bretzel",B75)),ISNUMBER(SEARCH("bretzle",B75))),C75*2.9,E75*1.3)</f>
        <v>3.5620000000000003</v>
      </c>
    </row>
    <row r="76" spans="1:8">
      <c r="A76">
        <v>9.0399999999999991</v>
      </c>
      <c r="B76" t="s">
        <v>562</v>
      </c>
      <c r="C76">
        <v>4</v>
      </c>
      <c r="D76" s="140">
        <v>2.19</v>
      </c>
      <c r="E76" s="140">
        <f>C76*D76</f>
        <v>8.76</v>
      </c>
      <c r="F76" s="140">
        <f>IF(OR(ISNUMBER(SEARCH("croissant",B76)),ISNUMBER(SEARCH("bretzel",B76)),ISNUMBER(SEARCH("bretzle",B76))),C76*2.9,E76*1.3)</f>
        <v>11.388</v>
      </c>
    </row>
    <row r="77" spans="1:8">
      <c r="A77">
        <v>9.0399999999999991</v>
      </c>
      <c r="B77" t="s">
        <v>563</v>
      </c>
      <c r="C77">
        <v>4</v>
      </c>
      <c r="D77" s="140">
        <v>1.64</v>
      </c>
      <c r="E77" s="140">
        <f>C77*D77</f>
        <v>6.56</v>
      </c>
      <c r="F77" s="140">
        <f>IF(OR(ISNUMBER(SEARCH("croissant",B77)),ISNUMBER(SEARCH("bretzel",B77)),ISNUMBER(SEARCH("bretzle",B77))),C77*2.9,E77*1.3)</f>
        <v>8.5280000000000005</v>
      </c>
    </row>
    <row r="78" spans="1:8">
      <c r="A78">
        <v>9.0399999999999991</v>
      </c>
      <c r="B78" t="s">
        <v>564</v>
      </c>
      <c r="C78">
        <v>2</v>
      </c>
      <c r="D78" s="140">
        <v>1.97</v>
      </c>
      <c r="E78" s="140">
        <f>C78*D78</f>
        <v>3.94</v>
      </c>
      <c r="F78" s="140">
        <f>IF(OR(ISNUMBER(SEARCH("croissant",B78)),ISNUMBER(SEARCH("bretzel",B78)),ISNUMBER(SEARCH("bretzle",B78))),C78*2.9,E78*1.3)</f>
        <v>5.1219999999999999</v>
      </c>
    </row>
    <row r="79" spans="1:8">
      <c r="A79">
        <v>9.0399999999999991</v>
      </c>
      <c r="B79" t="s">
        <v>565</v>
      </c>
      <c r="C79">
        <v>2</v>
      </c>
      <c r="D79" s="140">
        <v>1.86</v>
      </c>
      <c r="E79" s="140">
        <f>C79*D79</f>
        <v>3.72</v>
      </c>
      <c r="F79" s="140">
        <f>IF(OR(ISNUMBER(SEARCH("croissant",B79)),ISNUMBER(SEARCH("bretzel",B79)),ISNUMBER(SEARCH("bretzle",B79))),C79*2.9,E79*1.3)</f>
        <v>4.8360000000000003</v>
      </c>
    </row>
    <row r="80" spans="1:8">
      <c r="A80">
        <v>9.0399999999999991</v>
      </c>
      <c r="B80" t="s">
        <v>567</v>
      </c>
      <c r="C80">
        <v>1</v>
      </c>
      <c r="D80" s="140">
        <v>2.41</v>
      </c>
      <c r="E80" s="140">
        <f>C80*D80</f>
        <v>2.41</v>
      </c>
      <c r="F80" s="140">
        <f>IF(OR(ISNUMBER(SEARCH("croissant",B80)),ISNUMBER(SEARCH("bretzel",B80)),ISNUMBER(SEARCH("bretzle",B80))),C80*2.9,E80*1.3)</f>
        <v>3.1330000000000005</v>
      </c>
    </row>
    <row r="81" spans="1:8">
      <c r="A81">
        <v>9.0399999999999991</v>
      </c>
      <c r="B81" t="s">
        <v>530</v>
      </c>
      <c r="C81">
        <v>1</v>
      </c>
      <c r="D81" s="140">
        <v>1.97</v>
      </c>
      <c r="E81" s="140">
        <f>C81*D81</f>
        <v>1.97</v>
      </c>
      <c r="F81" s="140">
        <f>IF(OR(ISNUMBER(SEARCH("croissant",B81)),ISNUMBER(SEARCH("bretzel",B81)),ISNUMBER(SEARCH("bretzle",B81))),C81*2.9,E81*1.3)</f>
        <v>2.5609999999999999</v>
      </c>
    </row>
    <row r="82" spans="1:8">
      <c r="A82">
        <v>9.0399999999999991</v>
      </c>
      <c r="B82" t="s">
        <v>568</v>
      </c>
      <c r="C82">
        <v>2</v>
      </c>
      <c r="D82" s="140">
        <v>1.49</v>
      </c>
      <c r="E82" s="140">
        <f>C82*D82</f>
        <v>2.98</v>
      </c>
      <c r="F82" s="140">
        <f>IF(OR(ISNUMBER(SEARCH("croissant",B82)),ISNUMBER(SEARCH("bretzel",B82)),ISNUMBER(SEARCH("bretzle",B82))),C82*2.9,E82*1.3)</f>
        <v>3.8740000000000001</v>
      </c>
    </row>
    <row r="83" spans="1:8">
      <c r="A83">
        <v>9.0399999999999991</v>
      </c>
      <c r="B83" t="s">
        <v>569</v>
      </c>
      <c r="C83">
        <v>2</v>
      </c>
      <c r="D83" s="140">
        <v>1.49</v>
      </c>
      <c r="E83" s="140">
        <f>C83*D83</f>
        <v>2.98</v>
      </c>
      <c r="F83" s="140">
        <f>IF(OR(ISNUMBER(SEARCH("croissant",B83)),ISNUMBER(SEARCH("bretzel",B83)),ISNUMBER(SEARCH("bretzle",B83))),C83*2.9,E83*1.3)</f>
        <v>3.8740000000000001</v>
      </c>
    </row>
    <row r="84" spans="1:8">
      <c r="A84">
        <v>9.0399999999999991</v>
      </c>
      <c r="B84" t="s">
        <v>570</v>
      </c>
      <c r="C84">
        <v>10</v>
      </c>
      <c r="D84" s="140">
        <v>0.28999999999999998</v>
      </c>
      <c r="E84" s="140">
        <f>C84*D84</f>
        <v>2.9</v>
      </c>
      <c r="F84" s="140">
        <f>IF(OR(ISNUMBER(SEARCH("croissant",B84)),ISNUMBER(SEARCH("bretzel",B84)),ISNUMBER(SEARCH("bretzle",B84))),C84*2.9,E84*1.3)</f>
        <v>29</v>
      </c>
    </row>
    <row r="85" spans="1:8">
      <c r="A85">
        <v>9.0399999999999991</v>
      </c>
      <c r="B85" t="s">
        <v>571</v>
      </c>
      <c r="C85">
        <v>15</v>
      </c>
      <c r="D85" s="140">
        <v>0.55000000000000004</v>
      </c>
      <c r="E85" s="140">
        <f>C85*D85</f>
        <v>8.25</v>
      </c>
      <c r="F85" s="140">
        <f>IF(OR(ISNUMBER(SEARCH("croissant",B85)),ISNUMBER(SEARCH("bretzel",B85)),ISNUMBER(SEARCH("bretzle",B85))),C85*2.9,E85*1.3)</f>
        <v>10.725</v>
      </c>
      <c r="G85">
        <f>C85*2.9</f>
        <v>43.5</v>
      </c>
      <c r="H85" s="144">
        <f>G85-F85</f>
        <v>32.774999999999999</v>
      </c>
    </row>
    <row r="86" spans="1:8">
      <c r="A86">
        <v>13.04</v>
      </c>
      <c r="B86" t="s">
        <v>534</v>
      </c>
      <c r="C86">
        <v>16</v>
      </c>
      <c r="D86" s="140">
        <v>0.65</v>
      </c>
      <c r="E86" s="140">
        <f>C86*D86</f>
        <v>10.4</v>
      </c>
      <c r="F86" s="140">
        <f>IF(OR(ISNUMBER(SEARCH("croissant",B86)),ISNUMBER(SEARCH("bretzel",B86)),ISNUMBER(SEARCH("bretzle",B86))),C86*2.9,E86*1.3)</f>
        <v>13.520000000000001</v>
      </c>
    </row>
    <row r="87" spans="1:8">
      <c r="A87">
        <v>13.04</v>
      </c>
      <c r="B87" t="s">
        <v>536</v>
      </c>
      <c r="C87">
        <v>1</v>
      </c>
      <c r="D87" s="140">
        <v>1.81</v>
      </c>
      <c r="E87" s="140">
        <f>C87*D87</f>
        <v>1.81</v>
      </c>
      <c r="F87" s="140">
        <f>IF(OR(ISNUMBER(SEARCH("croissant",B87)),ISNUMBER(SEARCH("bretzel",B87)),ISNUMBER(SEARCH("bretzle",B87))),C87*2.9,E87*1.3)</f>
        <v>2.3530000000000002</v>
      </c>
    </row>
    <row r="88" spans="1:8">
      <c r="A88">
        <v>13.04</v>
      </c>
      <c r="B88" t="s">
        <v>537</v>
      </c>
      <c r="C88">
        <v>1</v>
      </c>
      <c r="D88" s="140">
        <v>11.54</v>
      </c>
      <c r="E88" s="140">
        <f>C88*D88</f>
        <v>11.54</v>
      </c>
      <c r="F88" s="140">
        <f>IF(OR(ISNUMBER(SEARCH("croissant",B88)),ISNUMBER(SEARCH("bretzel",B88)),ISNUMBER(SEARCH("bretzle",B88))),C88*2.9,E88*1.3)</f>
        <v>15.001999999999999</v>
      </c>
    </row>
    <row r="89" spans="1:8">
      <c r="A89">
        <v>13.04</v>
      </c>
      <c r="B89" t="s">
        <v>538</v>
      </c>
      <c r="C89">
        <v>1</v>
      </c>
      <c r="D89" s="140">
        <v>6.49</v>
      </c>
      <c r="E89" s="140">
        <f>C89*D89</f>
        <v>6.49</v>
      </c>
      <c r="F89" s="140">
        <f>IF(OR(ISNUMBER(SEARCH("croissant",B89)),ISNUMBER(SEARCH("bretzel",B89)),ISNUMBER(SEARCH("bretzle",B89))),C89*2.9,E89*1.3)</f>
        <v>8.4370000000000012</v>
      </c>
    </row>
    <row r="90" spans="1:8">
      <c r="A90">
        <v>13.04</v>
      </c>
      <c r="B90" t="s">
        <v>540</v>
      </c>
      <c r="C90">
        <v>9</v>
      </c>
      <c r="D90" s="140">
        <v>1.79</v>
      </c>
      <c r="E90" s="140">
        <f>C90*D90</f>
        <v>16.11</v>
      </c>
      <c r="F90" s="140">
        <f>IF(OR(ISNUMBER(SEARCH("croissant",B90)),ISNUMBER(SEARCH("bretzel",B90)),ISNUMBER(SEARCH("bretzle",B90))),C90*2.9,E90*1.3)</f>
        <v>20.943000000000001</v>
      </c>
    </row>
    <row r="91" spans="1:8">
      <c r="A91">
        <v>13.04</v>
      </c>
      <c r="B91" t="s">
        <v>213</v>
      </c>
      <c r="C91">
        <v>4</v>
      </c>
      <c r="D91" s="140">
        <v>2.12</v>
      </c>
      <c r="E91" s="140">
        <f>C91*D91</f>
        <v>8.48</v>
      </c>
      <c r="F91" s="140">
        <f>IF(OR(ISNUMBER(SEARCH("croissant",B91)),ISNUMBER(SEARCH("bretzel",B91)),ISNUMBER(SEARCH("bretzle",B91))),C91*2.9,E91*1.3)</f>
        <v>11.024000000000001</v>
      </c>
    </row>
    <row r="92" spans="1:8">
      <c r="A92">
        <v>13.04</v>
      </c>
      <c r="B92" t="s">
        <v>274</v>
      </c>
      <c r="C92">
        <v>3</v>
      </c>
      <c r="D92" s="140">
        <v>1.89</v>
      </c>
      <c r="E92" s="140">
        <f>C92*D92</f>
        <v>5.67</v>
      </c>
      <c r="F92" s="140">
        <f>IF(OR(ISNUMBER(SEARCH("croissant",B92)),ISNUMBER(SEARCH("bretzel",B92)),ISNUMBER(SEARCH("bretzle",B92))),C92*2.9,E92*1.3)</f>
        <v>7.3710000000000004</v>
      </c>
    </row>
    <row r="93" spans="1:8">
      <c r="A93">
        <v>13.04</v>
      </c>
      <c r="B93" t="s">
        <v>572</v>
      </c>
      <c r="C93">
        <v>9</v>
      </c>
      <c r="D93" s="140">
        <v>1.62</v>
      </c>
      <c r="E93" s="140">
        <f>C93*D93</f>
        <v>14.580000000000002</v>
      </c>
      <c r="F93" s="140">
        <f>IF(OR(ISNUMBER(SEARCH("croissant",B93)),ISNUMBER(SEARCH("bretzel",B93)),ISNUMBER(SEARCH("bretzle",B93))),C93*2.9,E93*1.3)</f>
        <v>18.954000000000004</v>
      </c>
    </row>
    <row r="94" spans="1:8">
      <c r="A94">
        <v>13.04</v>
      </c>
      <c r="B94" t="s">
        <v>496</v>
      </c>
      <c r="C94">
        <v>4</v>
      </c>
      <c r="D94" s="140">
        <v>1.59</v>
      </c>
      <c r="E94" s="140">
        <f>C94*D94</f>
        <v>6.36</v>
      </c>
      <c r="F94" s="140">
        <f>IF(OR(ISNUMBER(SEARCH("croissant",B94)),ISNUMBER(SEARCH("bretzel",B94)),ISNUMBER(SEARCH("bretzle",B94))),C94*2.9,E94*1.3)</f>
        <v>8.2680000000000007</v>
      </c>
    </row>
    <row r="95" spans="1:8">
      <c r="A95">
        <v>13.04</v>
      </c>
      <c r="B95" t="s">
        <v>573</v>
      </c>
      <c r="C95">
        <v>4</v>
      </c>
      <c r="D95" s="140">
        <v>1.85</v>
      </c>
      <c r="E95" s="140">
        <f>C95*D95</f>
        <v>7.4</v>
      </c>
      <c r="F95" s="140">
        <f>IF(OR(ISNUMBER(SEARCH("croissant",B95)),ISNUMBER(SEARCH("bretzel",B95)),ISNUMBER(SEARCH("bretzle",B95))),C95*2.9,E95*1.3)</f>
        <v>9.620000000000001</v>
      </c>
    </row>
    <row r="96" spans="1:8">
      <c r="A96">
        <v>13.04</v>
      </c>
      <c r="B96" t="s">
        <v>547</v>
      </c>
      <c r="C96">
        <v>3</v>
      </c>
      <c r="D96" s="140">
        <v>1.99</v>
      </c>
      <c r="E96" s="140">
        <f>C96*D96</f>
        <v>5.97</v>
      </c>
      <c r="F96" s="140">
        <f>IF(OR(ISNUMBER(SEARCH("croissant",B96)),ISNUMBER(SEARCH("bretzel",B96)),ISNUMBER(SEARCH("bretzle",B96))),C96*2.9,E96*1.3)</f>
        <v>7.7610000000000001</v>
      </c>
    </row>
    <row r="97" spans="1:8">
      <c r="A97">
        <v>13.04</v>
      </c>
      <c r="B97" t="s">
        <v>548</v>
      </c>
      <c r="C97">
        <v>4</v>
      </c>
      <c r="D97" s="140">
        <v>1.79</v>
      </c>
      <c r="E97" s="140">
        <f>C97*D97</f>
        <v>7.16</v>
      </c>
      <c r="F97" s="140">
        <f>IF(OR(ISNUMBER(SEARCH("croissant",B97)),ISNUMBER(SEARCH("bretzel",B97)),ISNUMBER(SEARCH("bretzle",B97))),C97*2.9,E97*1.3)</f>
        <v>9.3079999999999998</v>
      </c>
    </row>
    <row r="98" spans="1:8">
      <c r="A98">
        <v>13.04</v>
      </c>
      <c r="B98" t="s">
        <v>413</v>
      </c>
      <c r="C98">
        <v>12</v>
      </c>
      <c r="D98" s="140">
        <v>1.39</v>
      </c>
      <c r="E98" s="140">
        <f>C98*D98</f>
        <v>16.68</v>
      </c>
      <c r="F98" s="140">
        <f>IF(OR(ISNUMBER(SEARCH("croissant",B98)),ISNUMBER(SEARCH("bretzel",B98)),ISNUMBER(SEARCH("bretzle",B98))),C98*2.9,E98*1.3)</f>
        <v>21.684000000000001</v>
      </c>
    </row>
    <row r="99" spans="1:8">
      <c r="A99">
        <v>13.04</v>
      </c>
      <c r="B99" t="s">
        <v>550</v>
      </c>
      <c r="C99">
        <v>1</v>
      </c>
      <c r="D99" s="140">
        <v>14.9</v>
      </c>
      <c r="E99" s="140">
        <f>C99*D99</f>
        <v>14.9</v>
      </c>
      <c r="F99" s="140">
        <f>IF(OR(ISNUMBER(SEARCH("croissant",B99)),ISNUMBER(SEARCH("bretzel",B99)),ISNUMBER(SEARCH("bretzle",B99))),C99*2.9,E99*1.3)</f>
        <v>19.37</v>
      </c>
    </row>
    <row r="100" spans="1:8">
      <c r="A100">
        <v>13.04</v>
      </c>
      <c r="B100" t="s">
        <v>551</v>
      </c>
      <c r="C100">
        <v>1</v>
      </c>
      <c r="D100" s="140">
        <v>14.9</v>
      </c>
      <c r="E100" s="140">
        <f>C100*D100</f>
        <v>14.9</v>
      </c>
      <c r="F100" s="140">
        <f>IF(OR(ISNUMBER(SEARCH("croissant",B100)),ISNUMBER(SEARCH("bretzel",B100)),ISNUMBER(SEARCH("bretzle",B100))),C100*2.9,E100*1.3)</f>
        <v>19.37</v>
      </c>
    </row>
    <row r="101" spans="1:8">
      <c r="A101">
        <v>13.04</v>
      </c>
      <c r="B101" t="s">
        <v>552</v>
      </c>
      <c r="C101">
        <v>1</v>
      </c>
      <c r="D101" s="140">
        <v>14.9</v>
      </c>
      <c r="E101" s="140">
        <f>C101*D101</f>
        <v>14.9</v>
      </c>
      <c r="F101" s="140">
        <f>IF(OR(ISNUMBER(SEARCH("croissant",B101)),ISNUMBER(SEARCH("bretzel",B101)),ISNUMBER(SEARCH("bretzle",B101))),C101*2.9,E101*1.3)</f>
        <v>19.37</v>
      </c>
    </row>
    <row r="102" spans="1:8">
      <c r="A102">
        <v>13.04</v>
      </c>
      <c r="B102" t="s">
        <v>553</v>
      </c>
      <c r="C102">
        <v>1</v>
      </c>
      <c r="D102" s="140">
        <v>14.9</v>
      </c>
      <c r="E102" s="140">
        <f>C102*D102</f>
        <v>14.9</v>
      </c>
      <c r="F102" s="140">
        <f>IF(OR(ISNUMBER(SEARCH("croissant",B102)),ISNUMBER(SEARCH("bretzel",B102)),ISNUMBER(SEARCH("bretzle",B102))),C102*2.9,E102*1.3)</f>
        <v>19.37</v>
      </c>
    </row>
    <row r="103" spans="1:8">
      <c r="A103">
        <v>13.04</v>
      </c>
      <c r="B103" t="s">
        <v>373</v>
      </c>
      <c r="C103">
        <v>1</v>
      </c>
      <c r="D103" s="140">
        <v>17.440000000000001</v>
      </c>
      <c r="E103" s="140">
        <f>C103*D103</f>
        <v>17.440000000000001</v>
      </c>
      <c r="F103" s="140">
        <f>IF(OR(ISNUMBER(SEARCH("croissant",B103)),ISNUMBER(SEARCH("bretzel",B103)),ISNUMBER(SEARCH("bretzle",B103))),C103*2.9,E103*1.3)</f>
        <v>22.672000000000004</v>
      </c>
    </row>
    <row r="104" spans="1:8">
      <c r="A104">
        <v>13.04</v>
      </c>
      <c r="B104" t="s">
        <v>575</v>
      </c>
      <c r="C104">
        <v>5</v>
      </c>
      <c r="D104" s="140">
        <v>0.55000000000000004</v>
      </c>
      <c r="E104" s="140">
        <f>C104*D104</f>
        <v>2.75</v>
      </c>
      <c r="F104" s="140">
        <f>IF(OR(ISNUMBER(SEARCH("croissant",B104)),ISNUMBER(SEARCH("bretzel",B104)),ISNUMBER(SEARCH("bretzle",B104))),C104*2.9,E104*1.3)</f>
        <v>14.5</v>
      </c>
      <c r="G104">
        <f>C104*2.9</f>
        <v>14.5</v>
      </c>
      <c r="H104" s="144">
        <f>G104-F104</f>
        <v>0</v>
      </c>
    </row>
    <row r="105" spans="1:8">
      <c r="A105">
        <v>13.04</v>
      </c>
      <c r="B105" t="s">
        <v>576</v>
      </c>
      <c r="C105">
        <v>2</v>
      </c>
      <c r="D105" s="140">
        <v>2.52</v>
      </c>
      <c r="E105" s="140">
        <f>C105*D105</f>
        <v>5.04</v>
      </c>
      <c r="F105" s="140">
        <f>IF(OR(ISNUMBER(SEARCH("croissant",B105)),ISNUMBER(SEARCH("bretzel",B105)),ISNUMBER(SEARCH("bretzle",B105))),C105*2.9,E105*1.3)</f>
        <v>6.5520000000000005</v>
      </c>
    </row>
    <row r="106" spans="1:8">
      <c r="A106">
        <v>13.04</v>
      </c>
      <c r="B106" t="s">
        <v>271</v>
      </c>
      <c r="C106">
        <v>1.5</v>
      </c>
      <c r="D106" s="140">
        <v>2.79</v>
      </c>
      <c r="E106" s="140">
        <f>C106*D106</f>
        <v>4.1850000000000005</v>
      </c>
      <c r="F106" s="140">
        <f>IF(OR(ISNUMBER(SEARCH("croissant",B106)),ISNUMBER(SEARCH("bretzel",B106)),ISNUMBER(SEARCH("bretzle",B106))),C106*2.9,E106*1.3)</f>
        <v>5.440500000000001</v>
      </c>
    </row>
    <row r="107" spans="1:8">
      <c r="A107">
        <v>13.04</v>
      </c>
      <c r="B107" t="s">
        <v>559</v>
      </c>
      <c r="C107">
        <v>1</v>
      </c>
      <c r="D107" s="140">
        <v>2.04</v>
      </c>
      <c r="E107" s="140">
        <f>C107*D107</f>
        <v>2.04</v>
      </c>
      <c r="F107" s="140">
        <f>IF(OR(ISNUMBER(SEARCH("croissant",B107)),ISNUMBER(SEARCH("bretzel",B107)),ISNUMBER(SEARCH("bretzle",B107))),C107*2.9,E107*1.3)</f>
        <v>2.6520000000000001</v>
      </c>
    </row>
    <row r="108" spans="1:8">
      <c r="A108">
        <v>13.04</v>
      </c>
      <c r="B108" t="s">
        <v>560</v>
      </c>
      <c r="C108">
        <v>1</v>
      </c>
      <c r="D108" s="140">
        <v>3.29</v>
      </c>
      <c r="E108" s="140">
        <f>C108*D108</f>
        <v>3.29</v>
      </c>
      <c r="F108" s="140">
        <f>IF(OR(ISNUMBER(SEARCH("croissant",B108)),ISNUMBER(SEARCH("bretzel",B108)),ISNUMBER(SEARCH("bretzle",B108))),C108*2.9,E108*1.3)</f>
        <v>4.2770000000000001</v>
      </c>
    </row>
    <row r="109" spans="1:8">
      <c r="A109">
        <v>13.04</v>
      </c>
      <c r="B109" t="s">
        <v>561</v>
      </c>
      <c r="C109">
        <v>1</v>
      </c>
      <c r="D109" s="140">
        <v>2.74</v>
      </c>
      <c r="E109" s="140">
        <f>C109*D109</f>
        <v>2.74</v>
      </c>
      <c r="F109" s="140">
        <f>IF(OR(ISNUMBER(SEARCH("croissant",B109)),ISNUMBER(SEARCH("bretzel",B109)),ISNUMBER(SEARCH("bretzle",B109))),C109*2.9,E109*1.3)</f>
        <v>3.5620000000000003</v>
      </c>
    </row>
    <row r="110" spans="1:8">
      <c r="A110">
        <v>13.04</v>
      </c>
      <c r="B110" t="s">
        <v>562</v>
      </c>
      <c r="C110">
        <v>4</v>
      </c>
      <c r="D110" s="140">
        <v>2.19</v>
      </c>
      <c r="E110" s="140">
        <f>C110*D110</f>
        <v>8.76</v>
      </c>
      <c r="F110" s="140">
        <f>IF(OR(ISNUMBER(SEARCH("croissant",B110)),ISNUMBER(SEARCH("bretzel",B110)),ISNUMBER(SEARCH("bretzle",B110))),C110*2.9,E110*1.3)</f>
        <v>11.388</v>
      </c>
    </row>
    <row r="111" spans="1:8">
      <c r="A111">
        <v>13.04</v>
      </c>
      <c r="B111" t="s">
        <v>563</v>
      </c>
      <c r="C111">
        <v>4</v>
      </c>
      <c r="D111" s="140">
        <v>1.64</v>
      </c>
      <c r="E111" s="140">
        <f>C111*D111</f>
        <v>6.56</v>
      </c>
      <c r="F111" s="140">
        <f>IF(OR(ISNUMBER(SEARCH("croissant",B111)),ISNUMBER(SEARCH("bretzel",B111)),ISNUMBER(SEARCH("bretzle",B111))),C111*2.9,E111*1.3)</f>
        <v>8.5280000000000005</v>
      </c>
    </row>
    <row r="112" spans="1:8">
      <c r="A112">
        <v>13.04</v>
      </c>
      <c r="B112" t="s">
        <v>577</v>
      </c>
      <c r="C112">
        <v>3</v>
      </c>
      <c r="D112" s="140">
        <v>2.34</v>
      </c>
      <c r="E112" s="140">
        <f>C112*D112</f>
        <v>7.02</v>
      </c>
      <c r="F112" s="140">
        <f>IF(OR(ISNUMBER(SEARCH("croissant",B112)),ISNUMBER(SEARCH("bretzel",B112)),ISNUMBER(SEARCH("bretzle",B112))),C112*2.9,E112*1.3)</f>
        <v>9.1259999999999994</v>
      </c>
    </row>
    <row r="113" spans="1:8">
      <c r="A113">
        <v>13.04</v>
      </c>
      <c r="B113" t="s">
        <v>565</v>
      </c>
      <c r="C113">
        <v>1</v>
      </c>
      <c r="D113" s="140">
        <v>1.86</v>
      </c>
      <c r="E113" s="140">
        <f>C113*D113</f>
        <v>1.86</v>
      </c>
      <c r="F113" s="140">
        <f>IF(OR(ISNUMBER(SEARCH("croissant",B113)),ISNUMBER(SEARCH("bretzel",B113)),ISNUMBER(SEARCH("bretzle",B113))),C113*2.9,E113*1.3)</f>
        <v>2.4180000000000001</v>
      </c>
    </row>
    <row r="114" spans="1:8">
      <c r="A114">
        <v>13.04</v>
      </c>
      <c r="B114" t="s">
        <v>567</v>
      </c>
      <c r="C114">
        <v>1</v>
      </c>
      <c r="D114" s="140">
        <v>2.41</v>
      </c>
      <c r="E114" s="140">
        <f>C114*D114</f>
        <v>2.41</v>
      </c>
      <c r="F114" s="140">
        <f>IF(OR(ISNUMBER(SEARCH("croissant",B114)),ISNUMBER(SEARCH("bretzel",B114)),ISNUMBER(SEARCH("bretzle",B114))),C114*2.9,E114*1.3)</f>
        <v>3.1330000000000005</v>
      </c>
    </row>
    <row r="115" spans="1:8">
      <c r="A115">
        <v>13.04</v>
      </c>
      <c r="B115" t="s">
        <v>530</v>
      </c>
      <c r="C115">
        <v>1</v>
      </c>
      <c r="D115" s="140">
        <v>1.97</v>
      </c>
      <c r="E115" s="140">
        <f>C115*D115</f>
        <v>1.97</v>
      </c>
      <c r="F115" s="140">
        <f>IF(OR(ISNUMBER(SEARCH("croissant",B115)),ISNUMBER(SEARCH("bretzel",B115)),ISNUMBER(SEARCH("bretzle",B115))),C115*2.9,E115*1.3)</f>
        <v>2.5609999999999999</v>
      </c>
    </row>
    <row r="116" spans="1:8">
      <c r="A116">
        <v>13.04</v>
      </c>
      <c r="B116" t="s">
        <v>568</v>
      </c>
      <c r="C116">
        <v>4</v>
      </c>
      <c r="D116" s="140">
        <v>1.49</v>
      </c>
      <c r="E116" s="140">
        <f>C116*D116</f>
        <v>5.96</v>
      </c>
      <c r="F116" s="140">
        <f>IF(OR(ISNUMBER(SEARCH("croissant",B116)),ISNUMBER(SEARCH("bretzel",B116)),ISNUMBER(SEARCH("bretzle",B116))),C116*2.9,E116*1.3)</f>
        <v>7.7480000000000002</v>
      </c>
    </row>
    <row r="117" spans="1:8">
      <c r="A117">
        <v>13.04</v>
      </c>
      <c r="B117" t="s">
        <v>569</v>
      </c>
      <c r="C117">
        <v>1</v>
      </c>
      <c r="D117" s="140">
        <v>1.49</v>
      </c>
      <c r="E117" s="140">
        <f>C117*D117</f>
        <v>1.49</v>
      </c>
      <c r="F117" s="140">
        <f>IF(OR(ISNUMBER(SEARCH("croissant",B117)),ISNUMBER(SEARCH("bretzel",B117)),ISNUMBER(SEARCH("bretzle",B117))),C117*2.9,E117*1.3)</f>
        <v>1.9370000000000001</v>
      </c>
    </row>
    <row r="118" spans="1:8">
      <c r="A118">
        <v>13.04</v>
      </c>
      <c r="B118" t="s">
        <v>570</v>
      </c>
      <c r="C118">
        <v>10</v>
      </c>
      <c r="D118" s="140">
        <v>0.28999999999999998</v>
      </c>
      <c r="E118" s="140">
        <f>C118*D118</f>
        <v>2.9</v>
      </c>
      <c r="F118" s="140">
        <f>IF(OR(ISNUMBER(SEARCH("croissant",B118)),ISNUMBER(SEARCH("bretzel",B118)),ISNUMBER(SEARCH("bretzle",B118))),C118*2.9,E118*1.3)</f>
        <v>29</v>
      </c>
    </row>
    <row r="119" spans="1:8">
      <c r="A119">
        <v>13.04</v>
      </c>
      <c r="B119" t="s">
        <v>571</v>
      </c>
      <c r="C119">
        <v>15</v>
      </c>
      <c r="D119" s="140">
        <v>0.55000000000000004</v>
      </c>
      <c r="E119" s="140">
        <f>C119*D119</f>
        <v>8.25</v>
      </c>
      <c r="F119" s="140">
        <f>IF(OR(ISNUMBER(SEARCH("croissant",B119)),ISNUMBER(SEARCH("bretzel",B119)),ISNUMBER(SEARCH("bretzle",B119))),C119*2.9,E119*1.3)</f>
        <v>10.725</v>
      </c>
      <c r="G119">
        <f>C119*2.9</f>
        <v>43.5</v>
      </c>
      <c r="H119" s="144">
        <f>G119-F119</f>
        <v>32.774999999999999</v>
      </c>
    </row>
    <row r="120" spans="1:8">
      <c r="A120">
        <v>15.04</v>
      </c>
      <c r="B120" t="s">
        <v>578</v>
      </c>
      <c r="C120">
        <v>6</v>
      </c>
      <c r="D120" s="140">
        <v>2.06</v>
      </c>
      <c r="E120" s="140">
        <f>C120*D120</f>
        <v>12.36</v>
      </c>
      <c r="F120" s="140">
        <f>IF(OR(ISNUMBER(SEARCH("croissant",B120)),ISNUMBER(SEARCH("bretzel",B120)),ISNUMBER(SEARCH("bretzle",B120))),C120*2.9,E120*1.3)</f>
        <v>16.068000000000001</v>
      </c>
    </row>
    <row r="121" spans="1:8">
      <c r="A121">
        <v>15.04</v>
      </c>
      <c r="B121" t="s">
        <v>536</v>
      </c>
      <c r="C121">
        <v>2</v>
      </c>
      <c r="D121" s="140">
        <v>1.81</v>
      </c>
      <c r="E121" s="140">
        <f>C121*D121</f>
        <v>3.62</v>
      </c>
      <c r="F121" s="140">
        <f>IF(OR(ISNUMBER(SEARCH("croissant",B121)),ISNUMBER(SEARCH("bretzel",B121)),ISNUMBER(SEARCH("bretzle",B121))),C121*2.9,E121*1.3)</f>
        <v>4.7060000000000004</v>
      </c>
    </row>
    <row r="122" spans="1:8">
      <c r="A122">
        <v>15.04</v>
      </c>
      <c r="B122" t="s">
        <v>537</v>
      </c>
      <c r="C122">
        <v>1</v>
      </c>
      <c r="D122" s="140">
        <v>11.54</v>
      </c>
      <c r="E122" s="140">
        <f>C122*D122</f>
        <v>11.54</v>
      </c>
      <c r="F122" s="140">
        <f>IF(OR(ISNUMBER(SEARCH("croissant",B122)),ISNUMBER(SEARCH("bretzel",B122)),ISNUMBER(SEARCH("bretzle",B122))),C122*2.9,E122*1.3)</f>
        <v>15.001999999999999</v>
      </c>
    </row>
    <row r="123" spans="1:8">
      <c r="A123">
        <v>15.04</v>
      </c>
      <c r="B123" t="s">
        <v>538</v>
      </c>
      <c r="C123">
        <v>1</v>
      </c>
      <c r="D123" s="140">
        <v>6.49</v>
      </c>
      <c r="E123" s="140">
        <f>C123*D123</f>
        <v>6.49</v>
      </c>
      <c r="F123" s="140">
        <f>IF(OR(ISNUMBER(SEARCH("croissant",B123)),ISNUMBER(SEARCH("bretzel",B123)),ISNUMBER(SEARCH("bretzle",B123))),C123*2.9,E123*1.3)</f>
        <v>8.4370000000000012</v>
      </c>
    </row>
    <row r="124" spans="1:8">
      <c r="A124">
        <v>15.04</v>
      </c>
      <c r="B124" t="s">
        <v>540</v>
      </c>
      <c r="C124">
        <v>3</v>
      </c>
      <c r="D124" s="140">
        <v>1.79</v>
      </c>
      <c r="E124" s="140">
        <f>C124*D124</f>
        <v>5.37</v>
      </c>
      <c r="F124" s="140">
        <f>IF(OR(ISNUMBER(SEARCH("croissant",B124)),ISNUMBER(SEARCH("bretzel",B124)),ISNUMBER(SEARCH("bretzle",B124))),C124*2.9,E124*1.3)</f>
        <v>6.9810000000000008</v>
      </c>
    </row>
    <row r="125" spans="1:8">
      <c r="A125">
        <v>15.04</v>
      </c>
      <c r="B125" t="s">
        <v>213</v>
      </c>
      <c r="C125">
        <v>4</v>
      </c>
      <c r="D125" s="140">
        <v>2.12</v>
      </c>
      <c r="E125" s="140">
        <f>C125*D125</f>
        <v>8.48</v>
      </c>
      <c r="F125" s="140">
        <f>IF(OR(ISNUMBER(SEARCH("croissant",B125)),ISNUMBER(SEARCH("bretzel",B125)),ISNUMBER(SEARCH("bretzle",B125))),C125*2.9,E125*1.3)</f>
        <v>11.024000000000001</v>
      </c>
    </row>
    <row r="126" spans="1:8">
      <c r="A126">
        <v>15.04</v>
      </c>
      <c r="B126" t="s">
        <v>352</v>
      </c>
      <c r="C126">
        <v>1</v>
      </c>
      <c r="D126" s="140">
        <v>17.440000000000001</v>
      </c>
      <c r="E126" s="140">
        <f>C126*D126</f>
        <v>17.440000000000001</v>
      </c>
      <c r="F126" s="140">
        <f>IF(OR(ISNUMBER(SEARCH("croissant",B126)),ISNUMBER(SEARCH("bretzel",B126)),ISNUMBER(SEARCH("bretzle",B126))),C126*2.9,E126*1.3)</f>
        <v>22.672000000000004</v>
      </c>
    </row>
    <row r="127" spans="1:8">
      <c r="A127">
        <v>15.04</v>
      </c>
      <c r="B127" t="s">
        <v>400</v>
      </c>
      <c r="C127">
        <v>1</v>
      </c>
      <c r="D127" s="140">
        <v>14.9</v>
      </c>
      <c r="E127" s="140">
        <f>C127*D127</f>
        <v>14.9</v>
      </c>
      <c r="F127" s="140">
        <f>IF(OR(ISNUMBER(SEARCH("croissant",B127)),ISNUMBER(SEARCH("bretzel",B127)),ISNUMBER(SEARCH("bretzle",B127))),C127*2.9,E127*1.3)</f>
        <v>19.37</v>
      </c>
    </row>
    <row r="128" spans="1:8">
      <c r="A128">
        <v>15.04</v>
      </c>
      <c r="B128" t="s">
        <v>274</v>
      </c>
      <c r="C128">
        <v>8</v>
      </c>
      <c r="D128" s="140">
        <v>1.89</v>
      </c>
      <c r="E128" s="140">
        <f>C128*D128</f>
        <v>15.12</v>
      </c>
      <c r="F128" s="140">
        <f>IF(OR(ISNUMBER(SEARCH("croissant",B128)),ISNUMBER(SEARCH("bretzel",B128)),ISNUMBER(SEARCH("bretzle",B128))),C128*2.9,E128*1.3)</f>
        <v>19.655999999999999</v>
      </c>
    </row>
    <row r="129" spans="1:8">
      <c r="A129">
        <v>15.04</v>
      </c>
      <c r="B129" t="s">
        <v>581</v>
      </c>
      <c r="C129">
        <v>8</v>
      </c>
      <c r="D129" s="140">
        <v>1.99</v>
      </c>
      <c r="E129" s="140">
        <f>C129*D129</f>
        <v>15.92</v>
      </c>
      <c r="F129" s="140">
        <f>IF(OR(ISNUMBER(SEARCH("croissant",B129)),ISNUMBER(SEARCH("bretzel",B129)),ISNUMBER(SEARCH("bretzle",B129))),C129*2.9,E129*1.3)</f>
        <v>20.696000000000002</v>
      </c>
    </row>
    <row r="130" spans="1:8">
      <c r="A130">
        <v>15.04</v>
      </c>
      <c r="B130" t="s">
        <v>572</v>
      </c>
      <c r="C130">
        <v>3</v>
      </c>
      <c r="D130" s="140">
        <v>1.62</v>
      </c>
      <c r="E130" s="140">
        <f>C130*D130</f>
        <v>4.8600000000000003</v>
      </c>
      <c r="F130" s="140">
        <f>IF(OR(ISNUMBER(SEARCH("croissant",B130)),ISNUMBER(SEARCH("bretzel",B130)),ISNUMBER(SEARCH("bretzle",B130))),C130*2.9,E130*1.3)</f>
        <v>6.3180000000000005</v>
      </c>
    </row>
    <row r="131" spans="1:8">
      <c r="A131">
        <v>15.04</v>
      </c>
      <c r="B131" t="s">
        <v>496</v>
      </c>
      <c r="C131">
        <v>6</v>
      </c>
      <c r="D131" s="140">
        <v>1.59</v>
      </c>
      <c r="E131" s="140">
        <f>C131*D131</f>
        <v>9.5400000000000009</v>
      </c>
      <c r="F131" s="140">
        <f>IF(OR(ISNUMBER(SEARCH("croissant",B131)),ISNUMBER(SEARCH("bretzel",B131)),ISNUMBER(SEARCH("bretzle",B131))),C131*2.9,E131*1.3)</f>
        <v>12.402000000000001</v>
      </c>
    </row>
    <row r="132" spans="1:8">
      <c r="A132">
        <v>15.04</v>
      </c>
      <c r="B132" t="s">
        <v>573</v>
      </c>
      <c r="C132">
        <v>4</v>
      </c>
      <c r="D132" s="140">
        <v>1.85</v>
      </c>
      <c r="E132" s="140">
        <f>C132*D132</f>
        <v>7.4</v>
      </c>
      <c r="F132" s="140">
        <f>IF(OR(ISNUMBER(SEARCH("croissant",B132)),ISNUMBER(SEARCH("bretzel",B132)),ISNUMBER(SEARCH("bretzle",B132))),C132*2.9,E132*1.3)</f>
        <v>9.620000000000001</v>
      </c>
    </row>
    <row r="133" spans="1:8">
      <c r="A133">
        <v>15.04</v>
      </c>
      <c r="B133" t="s">
        <v>547</v>
      </c>
      <c r="C133">
        <v>3</v>
      </c>
      <c r="D133" s="140">
        <v>1.99</v>
      </c>
      <c r="E133" s="140">
        <f>C133*D133</f>
        <v>5.97</v>
      </c>
      <c r="F133" s="140">
        <f>IF(OR(ISNUMBER(SEARCH("croissant",B133)),ISNUMBER(SEARCH("bretzel",B133)),ISNUMBER(SEARCH("bretzle",B133))),C133*2.9,E133*1.3)</f>
        <v>7.7610000000000001</v>
      </c>
    </row>
    <row r="134" spans="1:8">
      <c r="A134">
        <v>15.04</v>
      </c>
      <c r="B134" t="s">
        <v>548</v>
      </c>
      <c r="C134">
        <v>3</v>
      </c>
      <c r="D134" s="140">
        <v>1.79</v>
      </c>
      <c r="E134" s="140">
        <f>C134*D134</f>
        <v>5.37</v>
      </c>
      <c r="F134" s="140">
        <f>IF(OR(ISNUMBER(SEARCH("croissant",B134)),ISNUMBER(SEARCH("bretzel",B134)),ISNUMBER(SEARCH("bretzle",B134))),C134*2.9,E134*1.3)</f>
        <v>6.9810000000000008</v>
      </c>
    </row>
    <row r="135" spans="1:8">
      <c r="A135">
        <v>15.04</v>
      </c>
      <c r="B135" t="s">
        <v>409</v>
      </c>
      <c r="C135">
        <v>0.5</v>
      </c>
      <c r="D135" s="140">
        <v>2.42</v>
      </c>
      <c r="E135" s="140">
        <f>C135*D135</f>
        <v>1.21</v>
      </c>
      <c r="F135" s="140">
        <f>IF(OR(ISNUMBER(SEARCH("croissant",B135)),ISNUMBER(SEARCH("bretzel",B135)),ISNUMBER(SEARCH("bretzle",B135))),C135*2.9,E135*1.3)</f>
        <v>1.573</v>
      </c>
    </row>
    <row r="136" spans="1:8">
      <c r="A136">
        <v>15.04</v>
      </c>
      <c r="B136" t="s">
        <v>550</v>
      </c>
      <c r="C136">
        <v>1</v>
      </c>
      <c r="D136" s="140">
        <v>14.9</v>
      </c>
      <c r="E136" s="140">
        <f>C136*D136</f>
        <v>14.9</v>
      </c>
      <c r="F136" s="140">
        <f>IF(OR(ISNUMBER(SEARCH("croissant",B136)),ISNUMBER(SEARCH("bretzel",B136)),ISNUMBER(SEARCH("bretzle",B136))),C136*2.9,E136*1.3)</f>
        <v>19.37</v>
      </c>
    </row>
    <row r="137" spans="1:8">
      <c r="A137">
        <v>15.04</v>
      </c>
      <c r="B137" t="s">
        <v>551</v>
      </c>
      <c r="C137">
        <v>1</v>
      </c>
      <c r="D137" s="140">
        <v>14.9</v>
      </c>
      <c r="E137" s="140">
        <f>C137*D137</f>
        <v>14.9</v>
      </c>
      <c r="F137" s="140">
        <f>IF(OR(ISNUMBER(SEARCH("croissant",B137)),ISNUMBER(SEARCH("bretzel",B137)),ISNUMBER(SEARCH("bretzle",B137))),C137*2.9,E137*1.3)</f>
        <v>19.37</v>
      </c>
    </row>
    <row r="138" spans="1:8">
      <c r="A138">
        <v>15.04</v>
      </c>
      <c r="B138" t="s">
        <v>552</v>
      </c>
      <c r="C138">
        <v>1</v>
      </c>
      <c r="D138" s="140">
        <v>14.9</v>
      </c>
      <c r="E138" s="140">
        <f>C138*D138</f>
        <v>14.9</v>
      </c>
      <c r="F138" s="140">
        <f>IF(OR(ISNUMBER(SEARCH("croissant",B138)),ISNUMBER(SEARCH("bretzel",B138)),ISNUMBER(SEARCH("bretzle",B138))),C138*2.9,E138*1.3)</f>
        <v>19.37</v>
      </c>
    </row>
    <row r="139" spans="1:8">
      <c r="A139">
        <v>15.04</v>
      </c>
      <c r="B139" t="s">
        <v>553</v>
      </c>
      <c r="C139">
        <v>1</v>
      </c>
      <c r="D139" s="140">
        <v>14.9</v>
      </c>
      <c r="E139" s="140">
        <f>C139*D139</f>
        <v>14.9</v>
      </c>
      <c r="F139" s="140">
        <f>IF(OR(ISNUMBER(SEARCH("croissant",B139)),ISNUMBER(SEARCH("bretzel",B139)),ISNUMBER(SEARCH("bretzle",B139))),C139*2.9,E139*1.3)</f>
        <v>19.37</v>
      </c>
    </row>
    <row r="140" spans="1:8">
      <c r="A140">
        <v>15.04</v>
      </c>
      <c r="B140" t="s">
        <v>582</v>
      </c>
      <c r="C140">
        <v>2</v>
      </c>
      <c r="D140" s="140">
        <v>2.86</v>
      </c>
      <c r="E140" s="140">
        <f>C140*D140</f>
        <v>5.72</v>
      </c>
      <c r="F140" s="140">
        <f>IF(OR(ISNUMBER(SEARCH("croissant",B140)),ISNUMBER(SEARCH("bretzel",B140)),ISNUMBER(SEARCH("bretzle",B140))),C140*2.9,E140*1.3)</f>
        <v>7.4359999999999999</v>
      </c>
    </row>
    <row r="141" spans="1:8">
      <c r="A141">
        <v>15.04</v>
      </c>
      <c r="B141" t="s">
        <v>584</v>
      </c>
      <c r="C141">
        <v>4</v>
      </c>
      <c r="D141" s="140">
        <v>0.55000000000000004</v>
      </c>
      <c r="E141" s="140">
        <f>C141*D141</f>
        <v>2.2000000000000002</v>
      </c>
      <c r="F141" s="140">
        <f>IF(OR(ISNUMBER(SEARCH("croissant",B141)),ISNUMBER(SEARCH("bretzel",B141)),ISNUMBER(SEARCH("bretzle",B141))),C141*2.9,E141*1.3)</f>
        <v>11.6</v>
      </c>
      <c r="G141">
        <f>C141*2.9</f>
        <v>11.6</v>
      </c>
      <c r="H141" s="144">
        <f>G141-F141</f>
        <v>0</v>
      </c>
    </row>
    <row r="142" spans="1:8">
      <c r="A142">
        <v>15.04</v>
      </c>
      <c r="B142" t="s">
        <v>576</v>
      </c>
      <c r="C142">
        <v>1</v>
      </c>
      <c r="D142" s="140">
        <v>2.52</v>
      </c>
      <c r="E142" s="140">
        <f>C142*D142</f>
        <v>2.52</v>
      </c>
      <c r="F142" s="140">
        <f>IF(OR(ISNUMBER(SEARCH("croissant",B142)),ISNUMBER(SEARCH("bretzel",B142)),ISNUMBER(SEARCH("bretzle",B142))),C142*2.9,E142*1.3)</f>
        <v>3.2760000000000002</v>
      </c>
    </row>
    <row r="143" spans="1:8">
      <c r="A143">
        <v>15.04</v>
      </c>
      <c r="B143" t="s">
        <v>271</v>
      </c>
      <c r="C143">
        <v>4</v>
      </c>
      <c r="D143" s="140">
        <v>1.79</v>
      </c>
      <c r="E143" s="140">
        <f>C143*D143</f>
        <v>7.16</v>
      </c>
      <c r="F143" s="140">
        <f>IF(OR(ISNUMBER(SEARCH("croissant",B143)),ISNUMBER(SEARCH("bretzel",B143)),ISNUMBER(SEARCH("bretzle",B143))),C143*2.9,E143*1.3)</f>
        <v>9.3079999999999998</v>
      </c>
    </row>
    <row r="144" spans="1:8">
      <c r="A144">
        <v>15.04</v>
      </c>
      <c r="B144" t="s">
        <v>559</v>
      </c>
      <c r="C144">
        <v>2</v>
      </c>
      <c r="D144" s="140">
        <v>2.04</v>
      </c>
      <c r="E144" s="140">
        <f>C144*D144</f>
        <v>4.08</v>
      </c>
      <c r="F144" s="140">
        <f>IF(OR(ISNUMBER(SEARCH("croissant",B144)),ISNUMBER(SEARCH("bretzel",B144)),ISNUMBER(SEARCH("bretzle",B144))),C144*2.9,E144*1.3)</f>
        <v>5.3040000000000003</v>
      </c>
    </row>
    <row r="145" spans="1:8">
      <c r="A145">
        <v>15.04</v>
      </c>
      <c r="B145" t="s">
        <v>560</v>
      </c>
      <c r="C145">
        <v>3</v>
      </c>
      <c r="D145" s="140">
        <v>4.2</v>
      </c>
      <c r="E145" s="140">
        <f>C145*D145</f>
        <v>12.600000000000001</v>
      </c>
      <c r="F145" s="140">
        <f>IF(OR(ISNUMBER(SEARCH("croissant",B145)),ISNUMBER(SEARCH("bretzel",B145)),ISNUMBER(SEARCH("bretzle",B145))),C145*2.9,E145*1.3)</f>
        <v>16.380000000000003</v>
      </c>
    </row>
    <row r="146" spans="1:8">
      <c r="A146">
        <v>15.04</v>
      </c>
      <c r="B146" t="s">
        <v>562</v>
      </c>
      <c r="C146">
        <v>4</v>
      </c>
      <c r="D146" s="140">
        <v>1.62</v>
      </c>
      <c r="E146" s="140">
        <f>C146*D146</f>
        <v>6.48</v>
      </c>
      <c r="F146" s="140">
        <f>IF(OR(ISNUMBER(SEARCH("croissant",B146)),ISNUMBER(SEARCH("bretzel",B146)),ISNUMBER(SEARCH("bretzle",B146))),C146*2.9,E146*1.3)</f>
        <v>8.4240000000000013</v>
      </c>
    </row>
    <row r="147" spans="1:8">
      <c r="A147">
        <v>15.04</v>
      </c>
      <c r="B147" t="s">
        <v>563</v>
      </c>
      <c r="C147">
        <v>3</v>
      </c>
      <c r="D147" s="140">
        <v>1.62</v>
      </c>
      <c r="E147" s="140">
        <f>C147*D147</f>
        <v>4.8600000000000003</v>
      </c>
      <c r="F147" s="140">
        <f>IF(OR(ISNUMBER(SEARCH("croissant",B147)),ISNUMBER(SEARCH("bretzel",B147)),ISNUMBER(SEARCH("bretzle",B147))),C147*2.9,E147*1.3)</f>
        <v>6.3180000000000005</v>
      </c>
    </row>
    <row r="148" spans="1:8">
      <c r="A148">
        <v>15.04</v>
      </c>
      <c r="B148" t="s">
        <v>577</v>
      </c>
      <c r="C148">
        <v>3</v>
      </c>
      <c r="D148" s="140">
        <v>2.34</v>
      </c>
      <c r="E148" s="140">
        <f>C148*D148</f>
        <v>7.02</v>
      </c>
      <c r="F148" s="140">
        <f>IF(OR(ISNUMBER(SEARCH("croissant",B148)),ISNUMBER(SEARCH("bretzel",B148)),ISNUMBER(SEARCH("bretzle",B148))),C148*2.9,E148*1.3)</f>
        <v>9.1259999999999994</v>
      </c>
    </row>
    <row r="149" spans="1:8">
      <c r="A149">
        <v>15.04</v>
      </c>
      <c r="B149" t="s">
        <v>565</v>
      </c>
      <c r="C149">
        <v>3</v>
      </c>
      <c r="D149" s="140">
        <v>1.86</v>
      </c>
      <c r="E149" s="140">
        <f>C149*D149</f>
        <v>5.58</v>
      </c>
      <c r="F149" s="140">
        <f>IF(OR(ISNUMBER(SEARCH("croissant",B149)),ISNUMBER(SEARCH("bretzel",B149)),ISNUMBER(SEARCH("bretzle",B149))),C149*2.9,E149*1.3)</f>
        <v>7.2540000000000004</v>
      </c>
    </row>
    <row r="150" spans="1:8">
      <c r="A150">
        <v>15.04</v>
      </c>
      <c r="B150" t="s">
        <v>567</v>
      </c>
      <c r="C150">
        <v>3</v>
      </c>
      <c r="D150" s="140">
        <v>4.9400000000000004</v>
      </c>
      <c r="E150" s="140">
        <f>C150*D150</f>
        <v>14.82</v>
      </c>
      <c r="F150" s="140">
        <f>IF(OR(ISNUMBER(SEARCH("croissant",B150)),ISNUMBER(SEARCH("bretzel",B150)),ISNUMBER(SEARCH("bretzle",B150))),C150*2.9,E150*1.3)</f>
        <v>19.266000000000002</v>
      </c>
    </row>
    <row r="151" spans="1:8">
      <c r="A151">
        <v>15.04</v>
      </c>
      <c r="B151" t="s">
        <v>530</v>
      </c>
      <c r="C151">
        <v>2</v>
      </c>
      <c r="D151" s="140">
        <v>2.34</v>
      </c>
      <c r="E151" s="140">
        <f>C151*D151</f>
        <v>4.68</v>
      </c>
      <c r="F151" s="140">
        <f>IF(OR(ISNUMBER(SEARCH("croissant",B151)),ISNUMBER(SEARCH("bretzel",B151)),ISNUMBER(SEARCH("bretzle",B151))),C151*2.9,E151*1.3)</f>
        <v>6.0839999999999996</v>
      </c>
    </row>
    <row r="152" spans="1:8">
      <c r="A152">
        <v>15.04</v>
      </c>
      <c r="B152" t="s">
        <v>585</v>
      </c>
      <c r="C152">
        <v>4</v>
      </c>
      <c r="D152" s="140">
        <v>1.49</v>
      </c>
      <c r="E152" s="140">
        <f>C152*D152</f>
        <v>5.96</v>
      </c>
      <c r="F152" s="140">
        <f>IF(OR(ISNUMBER(SEARCH("croissant",B152)),ISNUMBER(SEARCH("bretzel",B152)),ISNUMBER(SEARCH("bretzle",B152))),C152*2.9,E152*1.3)</f>
        <v>7.7480000000000002</v>
      </c>
    </row>
    <row r="153" spans="1:8">
      <c r="A153">
        <v>15.04</v>
      </c>
      <c r="B153" t="s">
        <v>586</v>
      </c>
      <c r="C153">
        <v>6</v>
      </c>
      <c r="D153" s="140">
        <v>1.49</v>
      </c>
      <c r="E153" s="140">
        <f>C153*D153</f>
        <v>8.94</v>
      </c>
      <c r="F153" s="140">
        <f>IF(OR(ISNUMBER(SEARCH("croissant",B153)),ISNUMBER(SEARCH("bretzel",B153)),ISNUMBER(SEARCH("bretzle",B153))),C153*2.9,E153*1.3)</f>
        <v>11.622</v>
      </c>
    </row>
    <row r="154" spans="1:8">
      <c r="A154">
        <v>15.04</v>
      </c>
      <c r="B154" t="s">
        <v>570</v>
      </c>
      <c r="C154">
        <v>12</v>
      </c>
      <c r="D154" s="140">
        <v>0.28999999999999998</v>
      </c>
      <c r="E154" s="140">
        <f>C154*D154</f>
        <v>3.4799999999999995</v>
      </c>
      <c r="F154" s="140">
        <f>IF(OR(ISNUMBER(SEARCH("croissant",B154)),ISNUMBER(SEARCH("bretzel",B154)),ISNUMBER(SEARCH("bretzle",B154))),C154*2.9,E154*1.3)</f>
        <v>34.799999999999997</v>
      </c>
    </row>
    <row r="155" spans="1:8">
      <c r="A155">
        <v>15.04</v>
      </c>
      <c r="B155" t="s">
        <v>571</v>
      </c>
      <c r="C155">
        <v>16</v>
      </c>
      <c r="D155" s="140">
        <v>0.55000000000000004</v>
      </c>
      <c r="E155" s="140">
        <f>C155*D155</f>
        <v>8.8000000000000007</v>
      </c>
      <c r="F155" s="140">
        <f>IF(OR(ISNUMBER(SEARCH("croissant",B155)),ISNUMBER(SEARCH("bretzel",B155)),ISNUMBER(SEARCH("bretzle",B155))),C155*2.9,E155*1.3)</f>
        <v>11.440000000000001</v>
      </c>
      <c r="G155">
        <f>C155*2.9</f>
        <v>46.4</v>
      </c>
      <c r="H155" s="144">
        <f>G155-F155</f>
        <v>34.959999999999994</v>
      </c>
    </row>
    <row r="156" spans="1:8">
      <c r="A156">
        <v>20.04</v>
      </c>
      <c r="B156" t="s">
        <v>587</v>
      </c>
      <c r="C156">
        <v>1</v>
      </c>
      <c r="D156" s="140">
        <v>10.69</v>
      </c>
      <c r="E156" s="140">
        <f>C156*D156</f>
        <v>10.69</v>
      </c>
      <c r="F156" s="140">
        <f>IF(OR(ISNUMBER(SEARCH("croissant",B156)),ISNUMBER(SEARCH("bretzel",B156)),ISNUMBER(SEARCH("bretzle",B156))),C156*2.9,E156*1.3)</f>
        <v>13.897</v>
      </c>
    </row>
    <row r="157" spans="1:8">
      <c r="A157">
        <v>20.04</v>
      </c>
      <c r="B157" t="s">
        <v>588</v>
      </c>
      <c r="C157">
        <v>1</v>
      </c>
      <c r="D157" s="140">
        <v>26.71</v>
      </c>
      <c r="E157" s="140">
        <f>C157*D157</f>
        <v>26.71</v>
      </c>
      <c r="F157" s="140">
        <f>IF(OR(ISNUMBER(SEARCH("croissant",B157)),ISNUMBER(SEARCH("bretzel",B157)),ISNUMBER(SEARCH("bretzle",B157))),C157*2.9,E157*1.3)</f>
        <v>34.722999999999999</v>
      </c>
    </row>
    <row r="158" spans="1:8">
      <c r="A158">
        <v>20.04</v>
      </c>
      <c r="B158" t="s">
        <v>213</v>
      </c>
      <c r="C158">
        <v>4</v>
      </c>
      <c r="D158" s="140">
        <v>2.12</v>
      </c>
      <c r="E158" s="140">
        <f>C158*D158</f>
        <v>8.48</v>
      </c>
      <c r="F158" s="140">
        <f>IF(OR(ISNUMBER(SEARCH("croissant",B158)),ISNUMBER(SEARCH("bretzel",B158)),ISNUMBER(SEARCH("bretzle",B158))),C158*2.9,E158*1.3)</f>
        <v>11.024000000000001</v>
      </c>
    </row>
    <row r="159" spans="1:8">
      <c r="A159">
        <v>20.04</v>
      </c>
      <c r="B159" t="s">
        <v>590</v>
      </c>
      <c r="C159">
        <v>1</v>
      </c>
      <c r="D159" s="140">
        <v>14.9</v>
      </c>
      <c r="E159" s="140">
        <f>C159*D159</f>
        <v>14.9</v>
      </c>
      <c r="F159" s="140">
        <f>IF(OR(ISNUMBER(SEARCH("croissant",B159)),ISNUMBER(SEARCH("bretzel",B159)),ISNUMBER(SEARCH("bretzle",B159))),C159*2.9,E159*1.3)</f>
        <v>19.37</v>
      </c>
    </row>
    <row r="160" spans="1:8">
      <c r="A160">
        <v>20.04</v>
      </c>
      <c r="B160" t="s">
        <v>400</v>
      </c>
      <c r="C160">
        <v>1</v>
      </c>
      <c r="D160" s="140">
        <v>14.9</v>
      </c>
      <c r="E160" s="140">
        <f>C160*D160</f>
        <v>14.9</v>
      </c>
      <c r="F160" s="140">
        <f>IF(OR(ISNUMBER(SEARCH("croissant",B160)),ISNUMBER(SEARCH("bretzel",B160)),ISNUMBER(SEARCH("bretzle",B160))),C160*2.9,E160*1.3)</f>
        <v>19.37</v>
      </c>
    </row>
    <row r="161" spans="1:8">
      <c r="A161">
        <v>20.04</v>
      </c>
      <c r="B161" t="s">
        <v>274</v>
      </c>
      <c r="C161">
        <v>4</v>
      </c>
      <c r="D161" s="140">
        <v>1.89</v>
      </c>
      <c r="E161" s="140">
        <f>C161*D161</f>
        <v>7.56</v>
      </c>
      <c r="F161" s="140">
        <f>IF(OR(ISNUMBER(SEARCH("croissant",B161)),ISNUMBER(SEARCH("bretzel",B161)),ISNUMBER(SEARCH("bretzle",B161))),C161*2.9,E161*1.3)</f>
        <v>9.8279999999999994</v>
      </c>
    </row>
    <row r="162" spans="1:8">
      <c r="A162">
        <v>20.04</v>
      </c>
      <c r="B162" t="s">
        <v>581</v>
      </c>
      <c r="C162">
        <v>4</v>
      </c>
      <c r="D162" s="140">
        <v>1.99</v>
      </c>
      <c r="E162" s="140">
        <f>C162*D162</f>
        <v>7.96</v>
      </c>
      <c r="F162" s="140">
        <f>IF(OR(ISNUMBER(SEARCH("croissant",B162)),ISNUMBER(SEARCH("bretzel",B162)),ISNUMBER(SEARCH("bretzle",B162))),C162*2.9,E162*1.3)</f>
        <v>10.348000000000001</v>
      </c>
    </row>
    <row r="163" spans="1:8">
      <c r="A163">
        <v>20.04</v>
      </c>
      <c r="B163" t="s">
        <v>572</v>
      </c>
      <c r="C163">
        <v>9</v>
      </c>
      <c r="D163" s="140">
        <v>1.62</v>
      </c>
      <c r="E163" s="140">
        <f>C163*D163</f>
        <v>14.580000000000002</v>
      </c>
      <c r="F163" s="140">
        <f>IF(OR(ISNUMBER(SEARCH("croissant",B163)),ISNUMBER(SEARCH("bretzel",B163)),ISNUMBER(SEARCH("bretzle",B163))),C163*2.9,E163*1.3)</f>
        <v>18.954000000000004</v>
      </c>
    </row>
    <row r="164" spans="1:8">
      <c r="A164">
        <v>20.04</v>
      </c>
      <c r="B164" t="s">
        <v>496</v>
      </c>
      <c r="C164">
        <v>4</v>
      </c>
      <c r="D164" s="140">
        <v>1.59</v>
      </c>
      <c r="E164" s="140">
        <f>C164*D164</f>
        <v>6.36</v>
      </c>
      <c r="F164" s="140">
        <f>IF(OR(ISNUMBER(SEARCH("croissant",B164)),ISNUMBER(SEARCH("bretzel",B164)),ISNUMBER(SEARCH("bretzle",B164))),C164*2.9,E164*1.3)</f>
        <v>8.2680000000000007</v>
      </c>
    </row>
    <row r="165" spans="1:8">
      <c r="A165">
        <v>20.04</v>
      </c>
      <c r="B165" t="s">
        <v>573</v>
      </c>
      <c r="C165">
        <v>4</v>
      </c>
      <c r="D165" s="140">
        <v>1.85</v>
      </c>
      <c r="E165" s="140">
        <f>C165*D165</f>
        <v>7.4</v>
      </c>
      <c r="F165" s="140">
        <f>IF(OR(ISNUMBER(SEARCH("croissant",B165)),ISNUMBER(SEARCH("bretzel",B165)),ISNUMBER(SEARCH("bretzle",B165))),C165*2.9,E165*1.3)</f>
        <v>9.620000000000001</v>
      </c>
    </row>
    <row r="166" spans="1:8">
      <c r="A166">
        <v>20.04</v>
      </c>
      <c r="B166" t="s">
        <v>548</v>
      </c>
      <c r="C166">
        <v>4</v>
      </c>
      <c r="D166" s="140">
        <v>1.79</v>
      </c>
      <c r="E166" s="140">
        <f>C166*D166</f>
        <v>7.16</v>
      </c>
      <c r="F166" s="140">
        <f>IF(OR(ISNUMBER(SEARCH("croissant",B166)),ISNUMBER(SEARCH("bretzel",B166)),ISNUMBER(SEARCH("bretzle",B166))),C166*2.9,E166*1.3)</f>
        <v>9.3079999999999998</v>
      </c>
    </row>
    <row r="167" spans="1:8">
      <c r="A167">
        <v>20.04</v>
      </c>
      <c r="B167" t="s">
        <v>550</v>
      </c>
      <c r="C167">
        <v>1</v>
      </c>
      <c r="D167" s="140">
        <v>14.9</v>
      </c>
      <c r="E167" s="140">
        <f>C167*D167</f>
        <v>14.9</v>
      </c>
      <c r="F167" s="140">
        <f>IF(OR(ISNUMBER(SEARCH("croissant",B167)),ISNUMBER(SEARCH("bretzel",B167)),ISNUMBER(SEARCH("bretzle",B167))),C167*2.9,E167*1.3)</f>
        <v>19.37</v>
      </c>
    </row>
    <row r="168" spans="1:8">
      <c r="A168">
        <v>20.04</v>
      </c>
      <c r="B168" t="s">
        <v>591</v>
      </c>
      <c r="C168">
        <v>1</v>
      </c>
      <c r="D168" s="140">
        <v>14.9</v>
      </c>
      <c r="E168" s="140">
        <f>C168*D168</f>
        <v>14.9</v>
      </c>
      <c r="F168" s="140">
        <f>IF(OR(ISNUMBER(SEARCH("croissant",B168)),ISNUMBER(SEARCH("bretzel",B168)),ISNUMBER(SEARCH("bretzle",B168))),C168*2.9,E168*1.3)</f>
        <v>19.37</v>
      </c>
    </row>
    <row r="169" spans="1:8">
      <c r="A169">
        <v>20.04</v>
      </c>
      <c r="B169" t="s">
        <v>553</v>
      </c>
      <c r="C169">
        <v>1</v>
      </c>
      <c r="D169" s="140">
        <v>14.9</v>
      </c>
      <c r="E169" s="140">
        <f>C169*D169</f>
        <v>14.9</v>
      </c>
      <c r="F169" s="140">
        <f>IF(OR(ISNUMBER(SEARCH("croissant",B169)),ISNUMBER(SEARCH("bretzel",B169)),ISNUMBER(SEARCH("bretzle",B169))),C169*2.9,E169*1.3)</f>
        <v>19.37</v>
      </c>
    </row>
    <row r="170" spans="1:8">
      <c r="A170">
        <v>20.04</v>
      </c>
      <c r="B170" t="s">
        <v>584</v>
      </c>
      <c r="C170">
        <v>5</v>
      </c>
      <c r="D170" s="140">
        <v>0.55000000000000004</v>
      </c>
      <c r="E170" s="140">
        <f>C170*D170</f>
        <v>2.75</v>
      </c>
      <c r="F170" s="140">
        <f>IF(OR(ISNUMBER(SEARCH("croissant",B170)),ISNUMBER(SEARCH("bretzel",B170)),ISNUMBER(SEARCH("bretzle",B170))),C170*2.9,E170*1.3)</f>
        <v>14.5</v>
      </c>
      <c r="G170">
        <f>C170*2.9</f>
        <v>14.5</v>
      </c>
      <c r="H170" s="144">
        <f>G170-F170</f>
        <v>0</v>
      </c>
    </row>
    <row r="171" spans="1:8">
      <c r="A171">
        <v>20.04</v>
      </c>
      <c r="B171" t="s">
        <v>592</v>
      </c>
      <c r="C171">
        <v>2</v>
      </c>
      <c r="D171" s="140">
        <v>2.86</v>
      </c>
      <c r="E171" s="140">
        <f>C171*D171</f>
        <v>5.72</v>
      </c>
      <c r="F171" s="140">
        <f>IF(OR(ISNUMBER(SEARCH("croissant",B171)),ISNUMBER(SEARCH("bretzel",B171)),ISNUMBER(SEARCH("bretzle",B171))),C171*2.9,E171*1.3)</f>
        <v>7.4359999999999999</v>
      </c>
    </row>
    <row r="172" spans="1:8">
      <c r="A172">
        <v>20.04</v>
      </c>
      <c r="B172" t="s">
        <v>593</v>
      </c>
      <c r="C172">
        <v>2</v>
      </c>
      <c r="D172" s="140">
        <v>2.86</v>
      </c>
      <c r="E172" s="140">
        <f>C172*D172</f>
        <v>5.72</v>
      </c>
      <c r="F172" s="140">
        <f>IF(OR(ISNUMBER(SEARCH("croissant",B172)),ISNUMBER(SEARCH("bretzel",B172)),ISNUMBER(SEARCH("bretzle",B172))),C172*2.9,E172*1.3)</f>
        <v>7.4359999999999999</v>
      </c>
    </row>
    <row r="173" spans="1:8">
      <c r="A173">
        <v>20.04</v>
      </c>
      <c r="B173" t="s">
        <v>594</v>
      </c>
      <c r="C173">
        <v>2</v>
      </c>
      <c r="D173" s="140">
        <v>2.86</v>
      </c>
      <c r="E173" s="140">
        <f>C173*D173</f>
        <v>5.72</v>
      </c>
      <c r="F173" s="140">
        <f>IF(OR(ISNUMBER(SEARCH("croissant",B173)),ISNUMBER(SEARCH("bretzel",B173)),ISNUMBER(SEARCH("bretzle",B173))),C173*2.9,E173*1.3)</f>
        <v>7.4359999999999999</v>
      </c>
    </row>
    <row r="174" spans="1:8">
      <c r="A174">
        <v>20.04</v>
      </c>
      <c r="B174" t="s">
        <v>559</v>
      </c>
      <c r="C174">
        <v>1</v>
      </c>
      <c r="D174" s="140">
        <v>2.04</v>
      </c>
      <c r="E174" s="140">
        <f>C174*D174</f>
        <v>2.04</v>
      </c>
      <c r="F174" s="140">
        <f>IF(OR(ISNUMBER(SEARCH("croissant",B174)),ISNUMBER(SEARCH("bretzel",B174)),ISNUMBER(SEARCH("bretzle",B174))),C174*2.9,E174*1.3)</f>
        <v>2.6520000000000001</v>
      </c>
    </row>
    <row r="175" spans="1:8">
      <c r="A175">
        <v>20.04</v>
      </c>
      <c r="B175" t="s">
        <v>562</v>
      </c>
      <c r="C175">
        <v>4</v>
      </c>
      <c r="D175" s="140">
        <v>1.62</v>
      </c>
      <c r="E175" s="140">
        <f>C175*D175</f>
        <v>6.48</v>
      </c>
      <c r="F175" s="140">
        <f>IF(OR(ISNUMBER(SEARCH("croissant",B175)),ISNUMBER(SEARCH("bretzel",B175)),ISNUMBER(SEARCH("bretzle",B175))),C175*2.9,E175*1.3)</f>
        <v>8.4240000000000013</v>
      </c>
    </row>
    <row r="176" spans="1:8">
      <c r="A176">
        <v>20.04</v>
      </c>
      <c r="B176" t="s">
        <v>563</v>
      </c>
      <c r="C176">
        <v>3</v>
      </c>
      <c r="D176" s="140">
        <v>1.62</v>
      </c>
      <c r="E176" s="140">
        <f>C176*D176</f>
        <v>4.8600000000000003</v>
      </c>
      <c r="F176" s="140">
        <f>IF(OR(ISNUMBER(SEARCH("croissant",B176)),ISNUMBER(SEARCH("bretzel",B176)),ISNUMBER(SEARCH("bretzle",B176))),C176*2.9,E176*1.3)</f>
        <v>6.3180000000000005</v>
      </c>
    </row>
    <row r="177" spans="1:8">
      <c r="A177">
        <v>20.04</v>
      </c>
      <c r="B177" t="s">
        <v>567</v>
      </c>
      <c r="C177">
        <v>0.5</v>
      </c>
      <c r="D177" s="140">
        <v>4.9400000000000004</v>
      </c>
      <c r="E177" s="140">
        <f>C177*D177</f>
        <v>2.4700000000000002</v>
      </c>
      <c r="F177" s="140">
        <f>IF(OR(ISNUMBER(SEARCH("croissant",B177)),ISNUMBER(SEARCH("bretzel",B177)),ISNUMBER(SEARCH("bretzle",B177))),C177*2.9,E177*1.3)</f>
        <v>3.2110000000000003</v>
      </c>
    </row>
    <row r="178" spans="1:8">
      <c r="A178">
        <v>20.04</v>
      </c>
      <c r="B178" t="s">
        <v>530</v>
      </c>
      <c r="C178">
        <v>2</v>
      </c>
      <c r="D178" s="140">
        <v>2.34</v>
      </c>
      <c r="E178" s="140">
        <f>C178*D178</f>
        <v>4.68</v>
      </c>
      <c r="F178" s="140">
        <f>IF(OR(ISNUMBER(SEARCH("croissant",B178)),ISNUMBER(SEARCH("bretzel",B178)),ISNUMBER(SEARCH("bretzle",B178))),C178*2.9,E178*1.3)</f>
        <v>6.0839999999999996</v>
      </c>
    </row>
    <row r="179" spans="1:8">
      <c r="A179">
        <v>20.04</v>
      </c>
      <c r="B179" t="s">
        <v>570</v>
      </c>
      <c r="C179">
        <v>10</v>
      </c>
      <c r="D179" s="140">
        <v>0.28999999999999998</v>
      </c>
      <c r="E179" s="140">
        <f>C179*D179</f>
        <v>2.9</v>
      </c>
      <c r="F179" s="140">
        <f>IF(OR(ISNUMBER(SEARCH("croissant",B179)),ISNUMBER(SEARCH("bretzel",B179)),ISNUMBER(SEARCH("bretzle",B179))),C179*2.9,E179*1.3)</f>
        <v>29</v>
      </c>
    </row>
    <row r="180" spans="1:8">
      <c r="A180">
        <v>20.04</v>
      </c>
      <c r="B180" t="s">
        <v>571</v>
      </c>
      <c r="C180">
        <v>15</v>
      </c>
      <c r="D180" s="140">
        <v>0.55000000000000004</v>
      </c>
      <c r="E180" s="140">
        <f>C180*D180</f>
        <v>8.25</v>
      </c>
      <c r="F180" s="140">
        <f>IF(OR(ISNUMBER(SEARCH("croissant",B180)),ISNUMBER(SEARCH("bretzel",B180)),ISNUMBER(SEARCH("bretzle",B180))),C180*2.9,E180*1.3)</f>
        <v>10.725</v>
      </c>
      <c r="G180">
        <f>C180*2.9</f>
        <v>43.5</v>
      </c>
      <c r="H180" s="144">
        <f>G180-F180</f>
        <v>32.774999999999999</v>
      </c>
    </row>
    <row r="181" spans="1:8">
      <c r="A181">
        <v>22.04</v>
      </c>
      <c r="B181" t="s">
        <v>595</v>
      </c>
      <c r="C181">
        <v>6</v>
      </c>
      <c r="D181" s="140">
        <v>1.49</v>
      </c>
      <c r="E181" s="140">
        <f>C181*D181</f>
        <v>8.94</v>
      </c>
      <c r="F181" s="140">
        <f>IF(OR(ISNUMBER(SEARCH("croissant",B181)),ISNUMBER(SEARCH("bretzel",B181)),ISNUMBER(SEARCH("bretzle",B181))),C181*2.9,E181*1.3)</f>
        <v>11.622</v>
      </c>
    </row>
    <row r="182" spans="1:8">
      <c r="A182">
        <v>22.04</v>
      </c>
      <c r="B182" t="s">
        <v>596</v>
      </c>
      <c r="C182">
        <v>6</v>
      </c>
      <c r="D182" s="140">
        <v>1.49</v>
      </c>
      <c r="E182" s="140">
        <f>C182*D182</f>
        <v>8.94</v>
      </c>
      <c r="F182" s="140">
        <f>IF(OR(ISNUMBER(SEARCH("croissant",B182)),ISNUMBER(SEARCH("bretzel",B182)),ISNUMBER(SEARCH("bretzle",B182))),C182*2.9,E182*1.3)</f>
        <v>11.622</v>
      </c>
    </row>
    <row r="183" spans="1:8">
      <c r="A183">
        <v>22.04</v>
      </c>
      <c r="B183" t="s">
        <v>597</v>
      </c>
      <c r="C183">
        <v>6</v>
      </c>
      <c r="D183" s="140">
        <v>1.39</v>
      </c>
      <c r="E183" s="140">
        <f>C183*D183</f>
        <v>8.34</v>
      </c>
      <c r="F183" s="140">
        <f>IF(OR(ISNUMBER(SEARCH("croissant",B183)),ISNUMBER(SEARCH("bretzel",B183)),ISNUMBER(SEARCH("bretzle",B183))),C183*2.9,E183*1.3)</f>
        <v>10.842000000000001</v>
      </c>
    </row>
    <row r="184" spans="1:8">
      <c r="A184">
        <v>22.04</v>
      </c>
      <c r="B184" t="s">
        <v>598</v>
      </c>
      <c r="C184">
        <v>6</v>
      </c>
      <c r="D184" s="140">
        <v>1.69</v>
      </c>
      <c r="E184" s="140">
        <f>C184*D184</f>
        <v>10.14</v>
      </c>
      <c r="F184" s="140">
        <f>IF(OR(ISNUMBER(SEARCH("croissant",B184)),ISNUMBER(SEARCH("bretzel",B184)),ISNUMBER(SEARCH("bretzle",B184))),C184*2.9,E184*1.3)</f>
        <v>13.182</v>
      </c>
    </row>
    <row r="185" spans="1:8">
      <c r="A185">
        <v>22.04</v>
      </c>
      <c r="B185" t="s">
        <v>599</v>
      </c>
      <c r="C185">
        <v>48</v>
      </c>
      <c r="D185" s="140">
        <v>1.79</v>
      </c>
      <c r="E185" s="140">
        <f>C185*D185</f>
        <v>85.92</v>
      </c>
      <c r="F185" s="140">
        <f>IF(OR(ISNUMBER(SEARCH("croissant",B185)),ISNUMBER(SEARCH("bretzel",B185)),ISNUMBER(SEARCH("bretzle",B185))),C185*2.9,E185*1.3)</f>
        <v>111.69600000000001</v>
      </c>
    </row>
    <row r="186" spans="1:8">
      <c r="A186">
        <v>22.04</v>
      </c>
      <c r="B186" t="s">
        <v>600</v>
      </c>
      <c r="C186">
        <v>1</v>
      </c>
      <c r="D186" s="140">
        <v>6.4</v>
      </c>
      <c r="E186" s="140">
        <f>C186*D186</f>
        <v>6.4</v>
      </c>
      <c r="F186" s="140">
        <f>IF(OR(ISNUMBER(SEARCH("croissant",B186)),ISNUMBER(SEARCH("bretzel",B186)),ISNUMBER(SEARCH("bretzle",B186))),C186*2.9,E186*1.3)</f>
        <v>8.32</v>
      </c>
    </row>
    <row r="187" spans="1:8">
      <c r="A187">
        <v>22.04</v>
      </c>
      <c r="B187" t="s">
        <v>213</v>
      </c>
      <c r="C187">
        <v>6</v>
      </c>
      <c r="D187" s="140">
        <v>2.34</v>
      </c>
      <c r="E187" s="140">
        <f>C187*D187</f>
        <v>14.04</v>
      </c>
      <c r="F187" s="140">
        <f>IF(OR(ISNUMBER(SEARCH("croissant",B187)),ISNUMBER(SEARCH("bretzel",B187)),ISNUMBER(SEARCH("bretzle",B187))),C187*2.9,E187*1.3)</f>
        <v>18.251999999999999</v>
      </c>
    </row>
    <row r="188" spans="1:8">
      <c r="A188">
        <v>22.04</v>
      </c>
      <c r="B188" t="s">
        <v>601</v>
      </c>
      <c r="C188">
        <v>1</v>
      </c>
      <c r="D188" s="140">
        <v>8.7899999999999991</v>
      </c>
      <c r="E188" s="140">
        <f>C188*D188</f>
        <v>8.7899999999999991</v>
      </c>
      <c r="F188" s="140">
        <f>IF(OR(ISNUMBER(SEARCH("croissant",B188)),ISNUMBER(SEARCH("bretzel",B188)),ISNUMBER(SEARCH("bretzle",B188))),C188*2.9,E188*1.3)</f>
        <v>11.427</v>
      </c>
    </row>
    <row r="189" spans="1:8">
      <c r="A189">
        <v>22.04</v>
      </c>
      <c r="B189" t="s">
        <v>405</v>
      </c>
      <c r="C189">
        <v>2</v>
      </c>
      <c r="D189" s="140">
        <v>2.96</v>
      </c>
      <c r="E189" s="140">
        <f>C189*D189</f>
        <v>5.92</v>
      </c>
      <c r="F189" s="140">
        <f>IF(OR(ISNUMBER(SEARCH("croissant",B189)),ISNUMBER(SEARCH("bretzel",B189)),ISNUMBER(SEARCH("bretzle",B189))),C189*2.9,E189*1.3)</f>
        <v>7.6959999999999997</v>
      </c>
    </row>
    <row r="190" spans="1:8">
      <c r="A190">
        <v>22.04</v>
      </c>
      <c r="B190" t="s">
        <v>107</v>
      </c>
      <c r="C190">
        <v>2</v>
      </c>
      <c r="D190" s="140">
        <v>2.08</v>
      </c>
      <c r="E190" s="140">
        <f>C190*D190</f>
        <v>4.16</v>
      </c>
      <c r="F190" s="140">
        <f>IF(OR(ISNUMBER(SEARCH("croissant",B190)),ISNUMBER(SEARCH("bretzel",B190)),ISNUMBER(SEARCH("bretzle",B190))),C190*2.9,E190*1.3)</f>
        <v>5.4080000000000004</v>
      </c>
    </row>
    <row r="191" spans="1:8">
      <c r="A191">
        <v>22.04</v>
      </c>
      <c r="B191" t="s">
        <v>409</v>
      </c>
      <c r="C191">
        <v>2</v>
      </c>
      <c r="D191" s="140">
        <v>2.19</v>
      </c>
      <c r="E191" s="140">
        <f>C191*D191</f>
        <v>4.38</v>
      </c>
      <c r="F191" s="140">
        <f>IF(OR(ISNUMBER(SEARCH("croissant",B191)),ISNUMBER(SEARCH("bretzel",B191)),ISNUMBER(SEARCH("bretzle",B191))),C191*2.9,E191*1.3)</f>
        <v>5.694</v>
      </c>
    </row>
    <row r="192" spans="1:8">
      <c r="A192">
        <v>22.04</v>
      </c>
      <c r="B192" t="s">
        <v>562</v>
      </c>
      <c r="C192">
        <v>2</v>
      </c>
      <c r="D192" s="140">
        <v>2.19</v>
      </c>
      <c r="E192" s="140">
        <f>C192*D192</f>
        <v>4.38</v>
      </c>
      <c r="F192" s="140">
        <f>IF(OR(ISNUMBER(SEARCH("croissant",B192)),ISNUMBER(SEARCH("bretzel",B192)),ISNUMBER(SEARCH("bretzle",B192))),C192*2.9,E192*1.3)</f>
        <v>5.694</v>
      </c>
    </row>
    <row r="193" spans="1:12">
      <c r="A193">
        <v>22.04</v>
      </c>
      <c r="B193" t="s">
        <v>563</v>
      </c>
      <c r="C193">
        <v>6</v>
      </c>
      <c r="D193" s="140">
        <v>1.64</v>
      </c>
      <c r="E193" s="140">
        <f>C193*D193</f>
        <v>9.84</v>
      </c>
      <c r="F193" s="140">
        <f>IF(OR(ISNUMBER(SEARCH("croissant",B193)),ISNUMBER(SEARCH("bretzel",B193)),ISNUMBER(SEARCH("bretzle",B193))),C193*2.9,E193*1.3)</f>
        <v>12.792</v>
      </c>
    </row>
    <row r="194" spans="1:12">
      <c r="A194">
        <v>22.04</v>
      </c>
      <c r="B194" t="s">
        <v>567</v>
      </c>
      <c r="C194">
        <v>1</v>
      </c>
      <c r="D194" s="140">
        <v>5.05</v>
      </c>
      <c r="E194" s="140">
        <f>C194*D194</f>
        <v>5.05</v>
      </c>
      <c r="F194" s="140">
        <f>IF(OR(ISNUMBER(SEARCH("croissant",B194)),ISNUMBER(SEARCH("bretzel",B194)),ISNUMBER(SEARCH("bretzle",B194))),C194*2.9,E194*1.3)</f>
        <v>6.5650000000000004</v>
      </c>
    </row>
    <row r="195" spans="1:12">
      <c r="A195" s="177">
        <v>22.04</v>
      </c>
      <c r="B195" s="177" t="s">
        <v>530</v>
      </c>
      <c r="C195" s="177">
        <v>2</v>
      </c>
      <c r="D195" s="181">
        <v>2.52</v>
      </c>
      <c r="E195" s="181">
        <f>C195*D195</f>
        <v>5.04</v>
      </c>
      <c r="F195" s="181">
        <f>IF(OR(ISNUMBER(SEARCH("croissant",B195)),ISNUMBER(SEARCH("bretzel",B195)),ISNUMBER(SEARCH("bretzle",B195))),C195*2.9,E195*1.3)</f>
        <v>6.5520000000000005</v>
      </c>
      <c r="G195" s="177"/>
      <c r="H195" s="177"/>
      <c r="I195" s="177"/>
      <c r="J195" s="177"/>
      <c r="K195" s="177"/>
      <c r="L195" s="177"/>
    </row>
    <row r="196" spans="1:12">
      <c r="A196" s="177">
        <v>22.04</v>
      </c>
      <c r="B196" s="177" t="s">
        <v>570</v>
      </c>
      <c r="C196" s="177">
        <v>10</v>
      </c>
      <c r="D196" s="181">
        <v>0.28999999999999998</v>
      </c>
      <c r="E196" s="181">
        <f>C196*D196</f>
        <v>2.9</v>
      </c>
      <c r="F196" s="181">
        <f>IF(OR(ISNUMBER(SEARCH("croissant",B196)),ISNUMBER(SEARCH("bretzel",B196)),ISNUMBER(SEARCH("bretzle",B196))),C196*2.9,E196*1.3)</f>
        <v>29</v>
      </c>
      <c r="G196" s="177"/>
      <c r="H196" s="177"/>
      <c r="I196" s="177"/>
      <c r="J196" s="177"/>
      <c r="K196" s="177"/>
      <c r="L196" s="177"/>
    </row>
    <row r="197" spans="1:12">
      <c r="A197" s="182">
        <v>22.04</v>
      </c>
      <c r="B197" s="177" t="s">
        <v>602</v>
      </c>
      <c r="C197" s="177">
        <v>25</v>
      </c>
      <c r="D197" s="177">
        <v>0.67</v>
      </c>
      <c r="E197" s="183">
        <f>C197*D197</f>
        <v>16.75</v>
      </c>
      <c r="F197" s="183">
        <f>IF(OR(ISNUMBER(SEARCH("croissant",B197)),ISNUMBER(SEARCH("bretzel",B197)),ISNUMBER(SEARCH("bretzle",B197))),C197*2.9,E197*1.3)</f>
        <v>21.775000000000002</v>
      </c>
      <c r="G197">
        <f>C197*2.9</f>
        <v>72.5</v>
      </c>
      <c r="H197" s="144">
        <f>G197-F197</f>
        <v>50.724999999999994</v>
      </c>
      <c r="I197" s="177"/>
      <c r="J197" s="177"/>
      <c r="K197" s="177"/>
      <c r="L197" s="177"/>
    </row>
    <row r="198" spans="1:12">
      <c r="A198" s="177">
        <v>22.04</v>
      </c>
      <c r="B198" s="177" t="s">
        <v>629</v>
      </c>
      <c r="C198" s="177">
        <v>60</v>
      </c>
      <c r="D198" s="188">
        <v>1.5</v>
      </c>
      <c r="E198" s="189">
        <f>C198*D198</f>
        <v>90</v>
      </c>
      <c r="F198" s="177">
        <v>240</v>
      </c>
      <c r="G198" s="177"/>
      <c r="H198" s="177"/>
      <c r="I198" s="177"/>
      <c r="J198" s="177"/>
      <c r="K198" s="177"/>
      <c r="L198" s="177"/>
    </row>
    <row r="199" spans="1:12">
      <c r="A199" s="182">
        <v>22.04</v>
      </c>
      <c r="B199" s="182" t="s">
        <v>630</v>
      </c>
      <c r="C199" s="182">
        <v>60</v>
      </c>
      <c r="D199" s="190">
        <v>1.5</v>
      </c>
      <c r="E199" s="189">
        <f>C199*D199</f>
        <v>90</v>
      </c>
      <c r="F199" s="177">
        <v>240</v>
      </c>
      <c r="G199" s="177"/>
      <c r="H199" s="177"/>
      <c r="I199" s="182"/>
      <c r="J199" s="182"/>
      <c r="K199" s="182"/>
      <c r="L199" s="177"/>
    </row>
    <row r="200" spans="1:12">
      <c r="A200" s="177">
        <v>22.04</v>
      </c>
      <c r="B200" s="181" t="s">
        <v>621</v>
      </c>
      <c r="C200" s="181">
        <v>48</v>
      </c>
      <c r="D200" s="188">
        <v>0.87</v>
      </c>
      <c r="E200" s="189">
        <f>C200*D200</f>
        <v>41.76</v>
      </c>
      <c r="F200" s="177">
        <v>144</v>
      </c>
      <c r="G200" s="177"/>
      <c r="H200" s="177"/>
      <c r="I200" s="177"/>
      <c r="J200" s="181"/>
      <c r="K200" s="177"/>
      <c r="L200" s="177"/>
    </row>
    <row r="201" spans="1:12">
      <c r="A201">
        <v>22.04</v>
      </c>
      <c r="B201" s="140" t="s">
        <v>631</v>
      </c>
      <c r="C201" s="140">
        <v>48</v>
      </c>
      <c r="D201" s="23">
        <v>0.87</v>
      </c>
      <c r="E201" s="189">
        <f>C201*D201</f>
        <v>41.76</v>
      </c>
      <c r="F201">
        <v>144</v>
      </c>
      <c r="J201" s="140" t="s">
        <v>632</v>
      </c>
      <c r="K201" t="s">
        <v>633</v>
      </c>
    </row>
    <row r="202" spans="1:12">
      <c r="A202">
        <v>22.04</v>
      </c>
      <c r="B202" s="140" t="s">
        <v>634</v>
      </c>
      <c r="C202" s="140">
        <v>6</v>
      </c>
      <c r="D202" s="23">
        <v>0.87</v>
      </c>
      <c r="E202" s="189">
        <f>C202*D202</f>
        <v>5.22</v>
      </c>
      <c r="F202">
        <v>18</v>
      </c>
      <c r="I202" t="s">
        <v>635</v>
      </c>
      <c r="J202" s="140">
        <v>480</v>
      </c>
      <c r="K202" s="191">
        <v>7.0000000000000007E-2</v>
      </c>
    </row>
    <row r="203" spans="1:12">
      <c r="A203">
        <v>27.04</v>
      </c>
      <c r="B203" s="140" t="s">
        <v>595</v>
      </c>
      <c r="C203" s="140">
        <v>3</v>
      </c>
      <c r="D203">
        <v>1.49</v>
      </c>
      <c r="E203">
        <f>C203*D203</f>
        <v>4.47</v>
      </c>
      <c r="F203">
        <f>IF(OR(ISNUMBER(SEARCH("croissant",B203)),ISNUMBER(SEARCH("bretzel",B203)),ISNUMBER(SEARCH("bretzle",B203))),C203*2.9,E203*1.3)</f>
        <v>5.8109999999999999</v>
      </c>
      <c r="I203" t="s">
        <v>636</v>
      </c>
      <c r="J203" s="140">
        <v>306</v>
      </c>
      <c r="K203" s="191">
        <v>0.19</v>
      </c>
    </row>
    <row r="204" spans="1:12">
      <c r="A204">
        <v>27.04</v>
      </c>
      <c r="B204" s="140" t="s">
        <v>596</v>
      </c>
      <c r="C204" s="140">
        <v>3</v>
      </c>
      <c r="D204">
        <v>1.49</v>
      </c>
      <c r="E204">
        <f>C204*D204</f>
        <v>4.47</v>
      </c>
      <c r="F204">
        <f>IF(OR(ISNUMBER(SEARCH("croissant",B204)),ISNUMBER(SEARCH("bretzel",B204)),ISNUMBER(SEARCH("bretzle",B204))),C204*2.9,E204*1.3)</f>
        <v>5.8109999999999999</v>
      </c>
      <c r="J204" s="140"/>
    </row>
    <row r="205" spans="1:12">
      <c r="A205">
        <v>27.04</v>
      </c>
      <c r="B205" s="140" t="s">
        <v>597</v>
      </c>
      <c r="C205" s="140">
        <v>6</v>
      </c>
      <c r="D205">
        <v>1.39</v>
      </c>
      <c r="E205">
        <f>C205*D205</f>
        <v>8.34</v>
      </c>
      <c r="F205">
        <f>IF(OR(ISNUMBER(SEARCH("croissant",B205)),ISNUMBER(SEARCH("bretzel",B205)),ISNUMBER(SEARCH("bretzle",B205))),C205*2.9,E205*1.3)</f>
        <v>10.842000000000001</v>
      </c>
      <c r="J205" s="140"/>
    </row>
    <row r="206" spans="1:12">
      <c r="A206">
        <v>27.04</v>
      </c>
      <c r="B206" s="140" t="s">
        <v>599</v>
      </c>
      <c r="C206" s="140">
        <v>48</v>
      </c>
      <c r="D206">
        <v>1.79</v>
      </c>
      <c r="E206">
        <f>C206*D206</f>
        <v>85.92</v>
      </c>
      <c r="F206">
        <f>IF(OR(ISNUMBER(SEARCH("croissant",B206)),ISNUMBER(SEARCH("bretzel",B206)),ISNUMBER(SEARCH("bretzle",B206))),C206*2.9,E206*1.3)</f>
        <v>111.69600000000001</v>
      </c>
      <c r="J206" s="140"/>
    </row>
    <row r="207" spans="1:12">
      <c r="A207">
        <v>27.04</v>
      </c>
      <c r="B207" s="140" t="s">
        <v>600</v>
      </c>
      <c r="C207" s="140">
        <v>1</v>
      </c>
      <c r="D207">
        <v>6.4</v>
      </c>
      <c r="E207">
        <f>C207*D207</f>
        <v>6.4</v>
      </c>
      <c r="F207">
        <f>IF(OR(ISNUMBER(SEARCH("croissant",B207)),ISNUMBER(SEARCH("bretzel",B207)),ISNUMBER(SEARCH("bretzle",B207))),C207*2.9,E207*1.3)</f>
        <v>8.32</v>
      </c>
      <c r="J207" s="140"/>
    </row>
    <row r="208" spans="1:12">
      <c r="A208">
        <v>27.04</v>
      </c>
      <c r="B208" s="140" t="s">
        <v>213</v>
      </c>
      <c r="C208" s="140">
        <v>4</v>
      </c>
      <c r="D208">
        <v>2.34</v>
      </c>
      <c r="E208">
        <f>C208*D208</f>
        <v>9.36</v>
      </c>
      <c r="F208">
        <f>IF(OR(ISNUMBER(SEARCH("croissant",B208)),ISNUMBER(SEARCH("bretzel",B208)),ISNUMBER(SEARCH("bretzle",B208))),C208*2.9,E208*1.3)</f>
        <v>12.167999999999999</v>
      </c>
      <c r="J208" s="140"/>
    </row>
    <row r="209" spans="1:10">
      <c r="A209">
        <v>27.04</v>
      </c>
      <c r="B209" s="140" t="s">
        <v>603</v>
      </c>
      <c r="C209" s="140">
        <v>6</v>
      </c>
      <c r="D209">
        <v>0.92</v>
      </c>
      <c r="E209">
        <f>C209*D209</f>
        <v>5.5200000000000005</v>
      </c>
      <c r="F209">
        <f>IF(OR(ISNUMBER(SEARCH("croissant",B209)),ISNUMBER(SEARCH("bretzel",B209)),ISNUMBER(SEARCH("bretzle",B209))),C209*2.9,E209*1.3)</f>
        <v>7.176000000000001</v>
      </c>
      <c r="J209" s="140"/>
    </row>
    <row r="210" spans="1:10">
      <c r="A210">
        <v>27.04</v>
      </c>
      <c r="B210" s="140" t="s">
        <v>604</v>
      </c>
      <c r="C210" s="140">
        <v>1</v>
      </c>
      <c r="D210">
        <v>21.99</v>
      </c>
      <c r="E210">
        <f>C210*D210</f>
        <v>21.99</v>
      </c>
      <c r="F210">
        <f>IF(OR(ISNUMBER(SEARCH("croissant",B210)),ISNUMBER(SEARCH("bretzel",B210)),ISNUMBER(SEARCH("bretzle",B210))),C210*2.9,E210*1.3)</f>
        <v>28.587</v>
      </c>
      <c r="J210" s="140"/>
    </row>
    <row r="211" spans="1:10">
      <c r="A211" s="186">
        <v>27.04</v>
      </c>
      <c r="B211" s="187" t="s">
        <v>605</v>
      </c>
      <c r="C211" s="187">
        <v>6</v>
      </c>
      <c r="D211">
        <v>1.59</v>
      </c>
      <c r="E211">
        <f>C211*D211</f>
        <v>9.5400000000000009</v>
      </c>
      <c r="F211">
        <f>IF(OR(ISNUMBER(SEARCH("croissant",B211)),ISNUMBER(SEARCH("bretzel",B211)),ISNUMBER(SEARCH("bretzle",B211))),C211*2.9,E211*1.3)</f>
        <v>12.402000000000001</v>
      </c>
      <c r="I211" s="184"/>
      <c r="J211" s="185"/>
    </row>
    <row r="212" spans="1:10">
      <c r="A212">
        <v>27.04</v>
      </c>
      <c r="B212" t="s">
        <v>606</v>
      </c>
      <c r="C212">
        <v>2</v>
      </c>
      <c r="D212">
        <v>1.79</v>
      </c>
      <c r="E212">
        <f>C212*D212</f>
        <v>3.58</v>
      </c>
      <c r="F212">
        <f>IF(OR(ISNUMBER(SEARCH("croissant",B212)),ISNUMBER(SEARCH("bretzel",B212)),ISNUMBER(SEARCH("bretzle",B212))),C212*2.9,E212*1.3)</f>
        <v>4.6539999999999999</v>
      </c>
    </row>
    <row r="213" spans="1:10">
      <c r="A213">
        <v>27.04</v>
      </c>
      <c r="B213" t="s">
        <v>404</v>
      </c>
      <c r="C213">
        <v>4</v>
      </c>
      <c r="D213">
        <v>1.89</v>
      </c>
      <c r="E213">
        <f>C213*D213</f>
        <v>7.56</v>
      </c>
      <c r="F213">
        <f>IF(OR(ISNUMBER(SEARCH("croissant",B213)),ISNUMBER(SEARCH("bretzel",B213)),ISNUMBER(SEARCH("bretzle",B213))),C213*2.9,E213*1.3)</f>
        <v>9.8279999999999994</v>
      </c>
    </row>
    <row r="214" spans="1:10">
      <c r="A214">
        <v>27.04</v>
      </c>
      <c r="B214" t="s">
        <v>607</v>
      </c>
      <c r="C214" s="144">
        <v>2</v>
      </c>
      <c r="D214">
        <v>1.99</v>
      </c>
      <c r="E214">
        <f>C214*D214</f>
        <v>3.98</v>
      </c>
      <c r="F214">
        <f>IF(OR(ISNUMBER(SEARCH("croissant",B214)),ISNUMBER(SEARCH("bretzel",B214)),ISNUMBER(SEARCH("bretzle",B214))),C214*2.9,E214*1.3)</f>
        <v>5.1740000000000004</v>
      </c>
    </row>
    <row r="215" spans="1:10">
      <c r="A215">
        <v>27.04</v>
      </c>
      <c r="B215" t="s">
        <v>608</v>
      </c>
      <c r="C215">
        <v>2</v>
      </c>
      <c r="D215">
        <v>1.85</v>
      </c>
      <c r="E215">
        <f>C215*D215</f>
        <v>3.7</v>
      </c>
      <c r="F215">
        <f>IF(OR(ISNUMBER(SEARCH("croissant",B215)),ISNUMBER(SEARCH("bretzel",B215)),ISNUMBER(SEARCH("bretzle",B215))),C215*2.9,E215*1.3)</f>
        <v>4.8100000000000005</v>
      </c>
    </row>
    <row r="216" spans="1:10">
      <c r="A216">
        <v>27.04</v>
      </c>
      <c r="B216" t="s">
        <v>609</v>
      </c>
      <c r="C216">
        <v>6</v>
      </c>
      <c r="D216">
        <v>0.87</v>
      </c>
      <c r="E216">
        <f>C216*D216</f>
        <v>5.22</v>
      </c>
      <c r="F216">
        <f>IF(OR(ISNUMBER(SEARCH("croissant",B216)),ISNUMBER(SEARCH("bretzel",B216)),ISNUMBER(SEARCH("bretzle",B216))),C216*2.9,E216*1.3)</f>
        <v>6.7859999999999996</v>
      </c>
    </row>
    <row r="217" spans="1:10">
      <c r="A217">
        <v>27.04</v>
      </c>
      <c r="B217" t="s">
        <v>611</v>
      </c>
      <c r="C217">
        <v>24</v>
      </c>
      <c r="D217">
        <v>2.42</v>
      </c>
      <c r="E217">
        <f>C217*D217</f>
        <v>58.08</v>
      </c>
      <c r="F217">
        <f>IF(OR(ISNUMBER(SEARCH("croissant",B217)),ISNUMBER(SEARCH("bretzel",B217)),ISNUMBER(SEARCH("bretzle",B217))),C217*2.9,E217*1.3)</f>
        <v>75.504000000000005</v>
      </c>
    </row>
    <row r="218" spans="1:10">
      <c r="A218">
        <v>27.04</v>
      </c>
      <c r="B218" t="s">
        <v>212</v>
      </c>
      <c r="C218">
        <v>1</v>
      </c>
      <c r="D218">
        <v>8.49</v>
      </c>
      <c r="E218">
        <f>C218*D218</f>
        <v>8.49</v>
      </c>
      <c r="F218">
        <f>IF(OR(ISNUMBER(SEARCH("croissant",B218)),ISNUMBER(SEARCH("bretzel",B218)),ISNUMBER(SEARCH("bretzle",B218))),C218*2.9,E218*1.3)</f>
        <v>11.037000000000001</v>
      </c>
    </row>
    <row r="219" spans="1:10">
      <c r="A219">
        <v>27.04</v>
      </c>
      <c r="B219" t="s">
        <v>613</v>
      </c>
      <c r="C219">
        <v>6</v>
      </c>
      <c r="D219">
        <v>3.29</v>
      </c>
      <c r="E219">
        <f>C219*D219</f>
        <v>19.740000000000002</v>
      </c>
      <c r="F219">
        <f>IF(OR(ISNUMBER(SEARCH("croissant",B219)),ISNUMBER(SEARCH("bretzel",B219)),ISNUMBER(SEARCH("bretzle",B219))),C219*2.9,E219*1.3)</f>
        <v>25.662000000000003</v>
      </c>
    </row>
    <row r="220" spans="1:10">
      <c r="A220">
        <v>27.04</v>
      </c>
      <c r="B220" t="s">
        <v>616</v>
      </c>
      <c r="C220">
        <v>1</v>
      </c>
      <c r="D220">
        <v>14.99</v>
      </c>
      <c r="E220">
        <f>C220*D220</f>
        <v>14.99</v>
      </c>
      <c r="F220">
        <f>IF(OR(ISNUMBER(SEARCH("croissant",B220)),ISNUMBER(SEARCH("bretzel",B220)),ISNUMBER(SEARCH("bretzle",B220))),C220*2.9,E220*1.3)</f>
        <v>19.487000000000002</v>
      </c>
    </row>
    <row r="221" spans="1:10">
      <c r="A221">
        <v>27.04</v>
      </c>
      <c r="B221" t="s">
        <v>617</v>
      </c>
      <c r="C221">
        <v>1</v>
      </c>
      <c r="D221">
        <v>14.99</v>
      </c>
      <c r="E221">
        <f>C221*D221</f>
        <v>14.99</v>
      </c>
      <c r="F221">
        <f>IF(OR(ISNUMBER(SEARCH("croissant",B221)),ISNUMBER(SEARCH("bretzel",B221)),ISNUMBER(SEARCH("bretzle",B221))),C221*2.9,E221*1.3)</f>
        <v>19.487000000000002</v>
      </c>
    </row>
    <row r="222" spans="1:10">
      <c r="A222">
        <v>27.04</v>
      </c>
      <c r="B222" t="s">
        <v>618</v>
      </c>
      <c r="C222">
        <v>6</v>
      </c>
      <c r="D222">
        <v>0.92</v>
      </c>
      <c r="E222">
        <f>C222*D222</f>
        <v>5.5200000000000005</v>
      </c>
      <c r="F222">
        <f>IF(OR(ISNUMBER(SEARCH("croissant",B222)),ISNUMBER(SEARCH("bretzel",B222)),ISNUMBER(SEARCH("bretzle",B222))),C222*2.9,E222*1.3)</f>
        <v>7.176000000000001</v>
      </c>
    </row>
    <row r="223" spans="1:10">
      <c r="A223">
        <v>27.04</v>
      </c>
      <c r="B223" t="s">
        <v>356</v>
      </c>
      <c r="C223">
        <v>1.6</v>
      </c>
      <c r="D223">
        <v>13.89</v>
      </c>
      <c r="E223">
        <f>C223*D223</f>
        <v>22.224000000000004</v>
      </c>
      <c r="F223">
        <f>IF(OR(ISNUMBER(SEARCH("croissant",B223)),ISNUMBER(SEARCH("bretzel",B223)),ISNUMBER(SEARCH("bretzle",B223))),C223*2.9,E223*1.3)</f>
        <v>28.891200000000005</v>
      </c>
    </row>
    <row r="224" spans="1:10">
      <c r="A224">
        <v>27.04</v>
      </c>
      <c r="B224" t="s">
        <v>620</v>
      </c>
      <c r="C224">
        <v>6</v>
      </c>
      <c r="D224">
        <v>0.87</v>
      </c>
      <c r="E224">
        <f>C224*D224</f>
        <v>5.22</v>
      </c>
      <c r="F224">
        <f>IF(OR(ISNUMBER(SEARCH("croissant",B224)),ISNUMBER(SEARCH("bretzel",B224)),ISNUMBER(SEARCH("bretzle",B224))),C224*2.9,E224*1.3)</f>
        <v>6.7859999999999996</v>
      </c>
    </row>
    <row r="225" spans="1:8">
      <c r="A225">
        <v>27.04</v>
      </c>
      <c r="B225" t="s">
        <v>621</v>
      </c>
      <c r="C225">
        <v>12</v>
      </c>
      <c r="D225">
        <v>0.59</v>
      </c>
      <c r="E225">
        <f>C225*D225</f>
        <v>7.08</v>
      </c>
      <c r="F225">
        <f>IF(OR(ISNUMBER(SEARCH("croissant",B225)),ISNUMBER(SEARCH("bretzel",B225)),ISNUMBER(SEARCH("bretzle",B225))),C225*2.9,E225*1.3)</f>
        <v>9.2040000000000006</v>
      </c>
    </row>
    <row r="226" spans="1:8">
      <c r="A226">
        <v>27.04</v>
      </c>
      <c r="B226" t="s">
        <v>623</v>
      </c>
      <c r="C226">
        <v>2</v>
      </c>
      <c r="D226">
        <v>1.49</v>
      </c>
      <c r="E226">
        <f>C226*D226</f>
        <v>2.98</v>
      </c>
      <c r="F226">
        <f>IF(OR(ISNUMBER(SEARCH("croissant",B226)),ISNUMBER(SEARCH("bretzel",B226)),ISNUMBER(SEARCH("bretzle",B226))),C226*2.9,E226*1.3)</f>
        <v>3.8740000000000001</v>
      </c>
    </row>
    <row r="227" spans="1:8">
      <c r="A227">
        <v>27.04</v>
      </c>
      <c r="B227" t="s">
        <v>624</v>
      </c>
      <c r="C227">
        <v>2</v>
      </c>
      <c r="D227">
        <v>3.16</v>
      </c>
      <c r="E227">
        <f>C227*D227</f>
        <v>6.32</v>
      </c>
      <c r="F227">
        <f>IF(OR(ISNUMBER(SEARCH("croissant",B227)),ISNUMBER(SEARCH("bretzel",B227)),ISNUMBER(SEARCH("bretzle",B227))),C227*2.9,E227*1.3)</f>
        <v>8.2160000000000011</v>
      </c>
    </row>
    <row r="228" spans="1:8">
      <c r="A228">
        <v>27.04</v>
      </c>
      <c r="B228" t="s">
        <v>625</v>
      </c>
      <c r="C228">
        <v>0.5</v>
      </c>
      <c r="D228">
        <v>7.74</v>
      </c>
      <c r="E228">
        <f>C228*D228</f>
        <v>3.87</v>
      </c>
      <c r="F228">
        <f>IF(OR(ISNUMBER(SEARCH("croissant",B228)),ISNUMBER(SEARCH("bretzel",B228)),ISNUMBER(SEARCH("bretzle",B228))),C228*2.9,E228*1.3)</f>
        <v>5.0310000000000006</v>
      </c>
    </row>
    <row r="229" spans="1:8">
      <c r="A229">
        <v>27.04</v>
      </c>
      <c r="B229" t="s">
        <v>450</v>
      </c>
      <c r="C229">
        <v>1</v>
      </c>
      <c r="D229">
        <v>1.69</v>
      </c>
      <c r="E229">
        <f>C229*D229</f>
        <v>1.69</v>
      </c>
      <c r="F229">
        <f>IF(OR(ISNUMBER(SEARCH("croissant",B229)),ISNUMBER(SEARCH("bretzel",B229)),ISNUMBER(SEARCH("bretzle",B229))),C229*2.9,E229*1.3)</f>
        <v>2.1970000000000001</v>
      </c>
    </row>
    <row r="230" spans="1:8">
      <c r="A230">
        <v>27.04</v>
      </c>
      <c r="B230" t="s">
        <v>601</v>
      </c>
      <c r="C230">
        <v>1</v>
      </c>
      <c r="D230">
        <v>8.7899999999999991</v>
      </c>
      <c r="E230">
        <f>C230*D230</f>
        <v>8.7899999999999991</v>
      </c>
      <c r="F230">
        <f>IF(OR(ISNUMBER(SEARCH("croissant",B230)),ISNUMBER(SEARCH("bretzel",B230)),ISNUMBER(SEARCH("bretzle",B230))),C230*2.9,E230*1.3)</f>
        <v>11.427</v>
      </c>
    </row>
    <row r="231" spans="1:8">
      <c r="A231">
        <v>27.04</v>
      </c>
      <c r="B231" t="s">
        <v>405</v>
      </c>
      <c r="C231">
        <v>2</v>
      </c>
      <c r="D231">
        <v>2.96</v>
      </c>
      <c r="E231">
        <f>C231*D231</f>
        <v>5.92</v>
      </c>
      <c r="F231">
        <f>IF(OR(ISNUMBER(SEARCH("croissant",B231)),ISNUMBER(SEARCH("bretzel",B231)),ISNUMBER(SEARCH("bretzle",B231))),C231*2.9,E231*1.3)</f>
        <v>7.6959999999999997</v>
      </c>
    </row>
    <row r="232" spans="1:8">
      <c r="A232">
        <v>27.04</v>
      </c>
      <c r="B232" t="s">
        <v>107</v>
      </c>
      <c r="C232">
        <v>1</v>
      </c>
      <c r="D232">
        <v>2.08</v>
      </c>
      <c r="E232">
        <f>C232*D232</f>
        <v>2.08</v>
      </c>
      <c r="F232">
        <f>IF(OR(ISNUMBER(SEARCH("croissant",B232)),ISNUMBER(SEARCH("bretzel",B232)),ISNUMBER(SEARCH("bretzle",B232))),C232*2.9,E232*1.3)</f>
        <v>2.7040000000000002</v>
      </c>
    </row>
    <row r="233" spans="1:8">
      <c r="A233">
        <v>27.04</v>
      </c>
      <c r="B233" t="s">
        <v>409</v>
      </c>
      <c r="C233">
        <v>1</v>
      </c>
      <c r="D233">
        <v>2.19</v>
      </c>
      <c r="E233">
        <f>C233*D233</f>
        <v>2.19</v>
      </c>
      <c r="F233">
        <f>IF(OR(ISNUMBER(SEARCH("croissant",B233)),ISNUMBER(SEARCH("bretzel",B233)),ISNUMBER(SEARCH("bretzle",B233))),C233*2.9,E233*1.3)</f>
        <v>2.847</v>
      </c>
    </row>
    <row r="234" spans="1:8">
      <c r="A234">
        <v>27.04</v>
      </c>
      <c r="B234" t="s">
        <v>562</v>
      </c>
      <c r="C234">
        <v>5</v>
      </c>
      <c r="D234">
        <v>2.19</v>
      </c>
      <c r="E234">
        <f>C234*D234</f>
        <v>10.95</v>
      </c>
      <c r="F234">
        <f>IF(OR(ISNUMBER(SEARCH("croissant",B234)),ISNUMBER(SEARCH("bretzel",B234)),ISNUMBER(SEARCH("bretzle",B234))),C234*2.9,E234*1.3)</f>
        <v>14.234999999999999</v>
      </c>
    </row>
    <row r="235" spans="1:8">
      <c r="A235">
        <v>27.04</v>
      </c>
      <c r="B235" t="s">
        <v>563</v>
      </c>
      <c r="C235">
        <v>3</v>
      </c>
      <c r="D235">
        <v>1.64</v>
      </c>
      <c r="E235">
        <f>C235*D235</f>
        <v>4.92</v>
      </c>
      <c r="F235">
        <f>IF(OR(ISNUMBER(SEARCH("croissant",B235)),ISNUMBER(SEARCH("bretzel",B235)),ISNUMBER(SEARCH("bretzle",B235))),C235*2.9,E235*1.3)</f>
        <v>6.3959999999999999</v>
      </c>
    </row>
    <row r="236" spans="1:8">
      <c r="A236">
        <v>27.04</v>
      </c>
      <c r="B236" t="s">
        <v>567</v>
      </c>
      <c r="C236">
        <v>1</v>
      </c>
      <c r="D236">
        <v>5.05</v>
      </c>
      <c r="E236">
        <f>C236*D236</f>
        <v>5.05</v>
      </c>
      <c r="F236">
        <f>IF(OR(ISNUMBER(SEARCH("croissant",B236)),ISNUMBER(SEARCH("bretzel",B236)),ISNUMBER(SEARCH("bretzle",B236))),C236*2.9,E236*1.3)</f>
        <v>6.5650000000000004</v>
      </c>
    </row>
    <row r="237" spans="1:8">
      <c r="A237">
        <v>27.04</v>
      </c>
      <c r="B237" t="s">
        <v>279</v>
      </c>
      <c r="C237">
        <v>1</v>
      </c>
      <c r="D237">
        <v>2.52</v>
      </c>
      <c r="E237">
        <f>C237*D237</f>
        <v>2.52</v>
      </c>
      <c r="F237">
        <f>IF(OR(ISNUMBER(SEARCH("croissant",B237)),ISNUMBER(SEARCH("bretzel",B237)),ISNUMBER(SEARCH("bretzle",B237))),C237*2.9,E237*1.3)</f>
        <v>3.2760000000000002</v>
      </c>
    </row>
    <row r="238" spans="1:8">
      <c r="A238">
        <v>27.04</v>
      </c>
      <c r="B238" t="s">
        <v>570</v>
      </c>
      <c r="C238">
        <v>10</v>
      </c>
      <c r="D238">
        <v>0.28999999999999998</v>
      </c>
      <c r="E238">
        <f>C238*D238</f>
        <v>2.9</v>
      </c>
      <c r="F238">
        <f>IF(OR(ISNUMBER(SEARCH("croissant",B238)),ISNUMBER(SEARCH("bretzel",B238)),ISNUMBER(SEARCH("bretzle",B238))),C238*2.9,E238*1.3)</f>
        <v>29</v>
      </c>
    </row>
    <row r="239" spans="1:8">
      <c r="A239">
        <v>27.04</v>
      </c>
      <c r="B239" t="s">
        <v>602</v>
      </c>
      <c r="C239">
        <v>20</v>
      </c>
      <c r="D239">
        <v>0.67</v>
      </c>
      <c r="E239">
        <f>C239*D239</f>
        <v>13.4</v>
      </c>
      <c r="F239">
        <f>IF(OR(ISNUMBER(SEARCH("croissant",B239)),ISNUMBER(SEARCH("bretzel",B239)),ISNUMBER(SEARCH("bretzle",B239))),C239*2.9,E239*1.3)</f>
        <v>17.420000000000002</v>
      </c>
      <c r="G239">
        <f>C239*2.9</f>
        <v>58</v>
      </c>
      <c r="H239" s="144">
        <f>G239-F239</f>
        <v>40.58</v>
      </c>
    </row>
    <row r="240" spans="1:8">
      <c r="A240">
        <v>29.04</v>
      </c>
      <c r="B240" t="s">
        <v>595</v>
      </c>
      <c r="C240">
        <v>12</v>
      </c>
      <c r="D240">
        <v>1.49</v>
      </c>
      <c r="E240">
        <f>C240*D240</f>
        <v>17.88</v>
      </c>
      <c r="F240">
        <f>IF(OR(ISNUMBER(SEARCH("croissant",B240)),ISNUMBER(SEARCH("bretzel",B240)),ISNUMBER(SEARCH("bretzle",B240))),C240*2.9,E240*1.3)</f>
        <v>23.244</v>
      </c>
    </row>
    <row r="241" spans="1:8">
      <c r="A241">
        <v>29.04</v>
      </c>
      <c r="B241" t="s">
        <v>492</v>
      </c>
      <c r="C241">
        <v>1</v>
      </c>
      <c r="D241">
        <v>11.54</v>
      </c>
      <c r="E241">
        <f>C241*D241</f>
        <v>11.54</v>
      </c>
      <c r="F241">
        <f>IF(OR(ISNUMBER(SEARCH("croissant",B241)),ISNUMBER(SEARCH("bretzel",B241)),ISNUMBER(SEARCH("bretzle",B241))),C241*2.9,E241*1.3)</f>
        <v>15.001999999999999</v>
      </c>
    </row>
    <row r="242" spans="1:8">
      <c r="A242">
        <v>29.04</v>
      </c>
      <c r="B242" t="s">
        <v>213</v>
      </c>
      <c r="C242">
        <v>6</v>
      </c>
      <c r="D242">
        <v>2.34</v>
      </c>
      <c r="E242">
        <f>C242*D242</f>
        <v>14.04</v>
      </c>
      <c r="F242">
        <f>IF(OR(ISNUMBER(SEARCH("croissant",B242)),ISNUMBER(SEARCH("bretzel",B242)),ISNUMBER(SEARCH("bretzle",B242))),C242*2.9,E242*1.3)</f>
        <v>18.251999999999999</v>
      </c>
    </row>
    <row r="243" spans="1:8">
      <c r="A243">
        <v>29.04</v>
      </c>
      <c r="B243" t="s">
        <v>603</v>
      </c>
      <c r="C243">
        <v>5</v>
      </c>
      <c r="D243">
        <v>0.92</v>
      </c>
      <c r="E243">
        <f>C243*D243</f>
        <v>4.6000000000000005</v>
      </c>
      <c r="F243">
        <f>IF(OR(ISNUMBER(SEARCH("croissant",B243)),ISNUMBER(SEARCH("bretzel",B243)),ISNUMBER(SEARCH("bretzle",B243))),C243*2.9,E243*1.3)</f>
        <v>5.9800000000000013</v>
      </c>
    </row>
    <row r="244" spans="1:8">
      <c r="A244">
        <v>29.04</v>
      </c>
      <c r="B244" t="s">
        <v>627</v>
      </c>
      <c r="C244">
        <v>1</v>
      </c>
      <c r="D244">
        <v>11.39</v>
      </c>
      <c r="E244">
        <f>C244*D244</f>
        <v>11.39</v>
      </c>
      <c r="F244">
        <f>IF(OR(ISNUMBER(SEARCH("croissant",B244)),ISNUMBER(SEARCH("bretzel",B244)),ISNUMBER(SEARCH("bretzle",B244))),C244*2.9,E244*1.3)</f>
        <v>14.807</v>
      </c>
    </row>
    <row r="245" spans="1:8">
      <c r="A245">
        <v>29.04</v>
      </c>
      <c r="B245" t="s">
        <v>628</v>
      </c>
      <c r="C245">
        <v>1</v>
      </c>
      <c r="D245">
        <v>10.6</v>
      </c>
      <c r="E245">
        <f>C245*D245</f>
        <v>10.6</v>
      </c>
      <c r="F245">
        <f>IF(OR(ISNUMBER(SEARCH("croissant",B245)),ISNUMBER(SEARCH("bretzel",B245)),ISNUMBER(SEARCH("bretzle",B245))),C245*2.9,E245*1.3)</f>
        <v>13.78</v>
      </c>
    </row>
    <row r="246" spans="1:8">
      <c r="A246">
        <v>29.04</v>
      </c>
      <c r="B246" t="s">
        <v>609</v>
      </c>
      <c r="C246">
        <v>24</v>
      </c>
      <c r="D246">
        <v>0.87</v>
      </c>
      <c r="E246">
        <f>C246*D246</f>
        <v>20.88</v>
      </c>
      <c r="F246">
        <f>IF(OR(ISNUMBER(SEARCH("croissant",B246)),ISNUMBER(SEARCH("bretzel",B246)),ISNUMBER(SEARCH("bretzle",B246))),C246*2.9,E246*1.3)</f>
        <v>27.143999999999998</v>
      </c>
    </row>
    <row r="247" spans="1:8">
      <c r="A247">
        <v>29.04</v>
      </c>
      <c r="B247" t="s">
        <v>620</v>
      </c>
      <c r="C247">
        <v>24</v>
      </c>
      <c r="D247">
        <v>0.87</v>
      </c>
      <c r="E247">
        <f>C247*D247</f>
        <v>20.88</v>
      </c>
      <c r="F247">
        <f>IF(OR(ISNUMBER(SEARCH("croissant",B247)),ISNUMBER(SEARCH("bretzel",B247)),ISNUMBER(SEARCH("bretzle",B247))),C247*2.9,E247*1.3)</f>
        <v>27.143999999999998</v>
      </c>
    </row>
    <row r="248" spans="1:8">
      <c r="A248">
        <v>29.04</v>
      </c>
      <c r="B248" t="s">
        <v>623</v>
      </c>
      <c r="C248">
        <v>24</v>
      </c>
      <c r="D248">
        <v>1.49</v>
      </c>
      <c r="E248">
        <f>C248*D248</f>
        <v>35.76</v>
      </c>
      <c r="F248">
        <f>IF(OR(ISNUMBER(SEARCH("croissant",B248)),ISNUMBER(SEARCH("bretzel",B248)),ISNUMBER(SEARCH("bretzle",B248))),C248*2.9,E248*1.3)</f>
        <v>46.488</v>
      </c>
    </row>
    <row r="249" spans="1:8">
      <c r="A249">
        <v>29.04</v>
      </c>
      <c r="B249" t="s">
        <v>405</v>
      </c>
      <c r="C249">
        <v>2</v>
      </c>
      <c r="D249">
        <v>2.96</v>
      </c>
      <c r="E249">
        <f>C249*D249</f>
        <v>5.92</v>
      </c>
      <c r="F249">
        <f>IF(OR(ISNUMBER(SEARCH("croissant",B249)),ISNUMBER(SEARCH("bretzel",B249)),ISNUMBER(SEARCH("bretzle",B249))),C249*2.9,E249*1.3)</f>
        <v>7.6959999999999997</v>
      </c>
    </row>
    <row r="250" spans="1:8">
      <c r="A250">
        <v>29.04</v>
      </c>
      <c r="B250" t="s">
        <v>107</v>
      </c>
      <c r="C250">
        <v>4</v>
      </c>
      <c r="D250">
        <v>2.08</v>
      </c>
      <c r="E250">
        <f>C250*D250</f>
        <v>8.32</v>
      </c>
      <c r="F250">
        <f>IF(OR(ISNUMBER(SEARCH("croissant",B250)),ISNUMBER(SEARCH("bretzel",B250)),ISNUMBER(SEARCH("bretzle",B250))),C250*2.9,E250*1.3)</f>
        <v>10.816000000000001</v>
      </c>
    </row>
    <row r="251" spans="1:8">
      <c r="A251">
        <v>29.04</v>
      </c>
      <c r="B251" t="s">
        <v>563</v>
      </c>
      <c r="C251">
        <v>9</v>
      </c>
      <c r="D251">
        <v>1.64</v>
      </c>
      <c r="E251">
        <f>C251*D251</f>
        <v>14.76</v>
      </c>
      <c r="F251">
        <f>IF(OR(ISNUMBER(SEARCH("croissant",B251)),ISNUMBER(SEARCH("bretzel",B251)),ISNUMBER(SEARCH("bretzle",B251))),C251*2.9,E251*1.3)</f>
        <v>19.187999999999999</v>
      </c>
    </row>
    <row r="252" spans="1:8">
      <c r="A252">
        <v>29.04</v>
      </c>
      <c r="B252" t="s">
        <v>567</v>
      </c>
      <c r="C252">
        <v>2</v>
      </c>
      <c r="D252">
        <v>5.05</v>
      </c>
      <c r="E252">
        <f>C252*D252</f>
        <v>10.1</v>
      </c>
      <c r="F252">
        <f>IF(OR(ISNUMBER(SEARCH("croissant",B252)),ISNUMBER(SEARCH("bretzel",B252)),ISNUMBER(SEARCH("bretzle",B252))),C252*2.9,E252*1.3)</f>
        <v>13.13</v>
      </c>
    </row>
    <row r="253" spans="1:8">
      <c r="A253">
        <v>29.04</v>
      </c>
      <c r="B253" t="s">
        <v>279</v>
      </c>
      <c r="C253">
        <v>6</v>
      </c>
      <c r="D253">
        <v>2.52</v>
      </c>
      <c r="E253">
        <f>C253*D253</f>
        <v>15.120000000000001</v>
      </c>
      <c r="F253">
        <f>IF(OR(ISNUMBER(SEARCH("croissant",B253)),ISNUMBER(SEARCH("bretzel",B253)),ISNUMBER(SEARCH("bretzle",B253))),C253*2.9,E253*1.3)</f>
        <v>19.656000000000002</v>
      </c>
    </row>
    <row r="254" spans="1:8">
      <c r="A254">
        <v>29.04</v>
      </c>
      <c r="B254" t="s">
        <v>570</v>
      </c>
      <c r="C254">
        <v>10</v>
      </c>
      <c r="D254">
        <v>0.28999999999999998</v>
      </c>
      <c r="E254">
        <f>C254*D254</f>
        <v>2.9</v>
      </c>
      <c r="F254">
        <f>IF(OR(ISNUMBER(SEARCH("croissant",B254)),ISNUMBER(SEARCH("bretzel",B254)),ISNUMBER(SEARCH("bretzle",B254))),C254*2.9,E254*1.3)</f>
        <v>29</v>
      </c>
    </row>
    <row r="255" spans="1:8">
      <c r="A255">
        <v>29.04</v>
      </c>
      <c r="B255" t="s">
        <v>602</v>
      </c>
      <c r="C255">
        <v>20</v>
      </c>
      <c r="D255">
        <v>0.67</v>
      </c>
      <c r="E255">
        <f>C255*D255</f>
        <v>13.4</v>
      </c>
      <c r="F255">
        <f>IF(OR(ISNUMBER(SEARCH("croissant",B255)),ISNUMBER(SEARCH("bretzel",B255)),ISNUMBER(SEARCH("bretzle",B255))),C255*2.9,E255*1.3)</f>
        <v>17.420000000000002</v>
      </c>
      <c r="G255">
        <f>C255*2.9</f>
        <v>58</v>
      </c>
      <c r="H255" s="144">
        <f>G255-F255</f>
        <v>40.58</v>
      </c>
    </row>
    <row r="256" spans="1:8">
      <c r="A256" s="179" t="s">
        <v>497</v>
      </c>
      <c r="B256" s="142"/>
      <c r="C256" s="142"/>
      <c r="D256" s="142"/>
      <c r="E256" s="180">
        <f>SUM(E2:E255)</f>
        <v>2770.4390000000003</v>
      </c>
      <c r="F256" s="180">
        <f>SUM(F2:F255)</f>
        <v>4245.880699999997</v>
      </c>
      <c r="H256" s="180">
        <f>SUM(H2:H255)</f>
        <v>317.36999999999995</v>
      </c>
    </row>
    <row r="258" spans="1:11">
      <c r="A258" s="178" t="s">
        <v>276</v>
      </c>
      <c r="B258" s="178" t="s">
        <v>100</v>
      </c>
      <c r="C258" s="178" t="s">
        <v>446</v>
      </c>
      <c r="D258" s="178" t="s">
        <v>498</v>
      </c>
      <c r="I258" s="178" t="s">
        <v>276</v>
      </c>
      <c r="J258" s="178" t="s">
        <v>446</v>
      </c>
      <c r="K258" s="178" t="s">
        <v>498</v>
      </c>
    </row>
    <row r="259" spans="1:11">
      <c r="A259">
        <v>1.04</v>
      </c>
      <c r="B259" s="140">
        <f>SUMIF($A$2:$A$255,A259,$E$2:$E$255)</f>
        <v>224.32</v>
      </c>
      <c r="C259" s="140">
        <f>SUMIF($A$2:$A$255,A259,$F$2:$F$255)</f>
        <v>291.61599999999999</v>
      </c>
      <c r="D259">
        <v>49</v>
      </c>
      <c r="I259">
        <v>1.04</v>
      </c>
      <c r="J259" s="140">
        <f>SUMIF($A$2:$A$255,I259,$F$2:$F$255)+E259</f>
        <v>291.61599999999999</v>
      </c>
      <c r="K259">
        <v>49</v>
      </c>
    </row>
    <row r="260" spans="1:11">
      <c r="A260">
        <v>7.04</v>
      </c>
      <c r="B260" s="140">
        <f>SUMIF($A$2:$A$255,A260,$E$2:$E$255)</f>
        <v>350.23000000000008</v>
      </c>
      <c r="C260" s="140">
        <f>SUMIF($A$2:$A$255,A260,$F$2:$F$255)</f>
        <v>453.01200000000011</v>
      </c>
      <c r="D260">
        <v>49</v>
      </c>
      <c r="E260" s="144">
        <f>H25</f>
        <v>26.1</v>
      </c>
      <c r="I260">
        <v>7.04</v>
      </c>
      <c r="J260" s="140">
        <f t="shared" ref="J260:J267" si="0">SUMIF($A$2:$A$255,I260,$F$2:$F$255)+E260</f>
        <v>479.11200000000014</v>
      </c>
      <c r="K260">
        <v>49</v>
      </c>
    </row>
    <row r="261" spans="1:11">
      <c r="A261">
        <v>9.0399999999999991</v>
      </c>
      <c r="B261" s="140">
        <f>SUMIF($A$2:$A$255,A261,$E$2:$E$255)</f>
        <v>293.17000000000013</v>
      </c>
      <c r="C261" s="140">
        <f>SUMIF($A$2:$A$255,A261,$F$2:$F$255)</f>
        <v>404.06400000000008</v>
      </c>
      <c r="D261">
        <v>49</v>
      </c>
      <c r="E261" s="144">
        <f>H68+H85</f>
        <v>58.875</v>
      </c>
      <c r="I261">
        <v>9.0399999999999991</v>
      </c>
      <c r="J261" s="140">
        <f t="shared" si="0"/>
        <v>462.93900000000008</v>
      </c>
      <c r="K261">
        <v>49</v>
      </c>
    </row>
    <row r="262" spans="1:11">
      <c r="A262">
        <v>13.04</v>
      </c>
      <c r="B262" s="140">
        <f>SUMIF($A$2:$A$255,A262,$E$2:$E$255)</f>
        <v>262.91500000000008</v>
      </c>
      <c r="C262" s="140">
        <f>SUMIF($A$2:$A$255,A262,$F$2:$F$255)</f>
        <v>377.94450000000001</v>
      </c>
      <c r="D262">
        <v>49</v>
      </c>
      <c r="E262" s="144">
        <f>H119</f>
        <v>32.774999999999999</v>
      </c>
      <c r="I262">
        <v>13.04</v>
      </c>
      <c r="J262" s="140">
        <f t="shared" si="0"/>
        <v>410.71949999999998</v>
      </c>
      <c r="K262">
        <v>49</v>
      </c>
    </row>
    <row r="263" spans="1:11">
      <c r="A263">
        <v>15.04</v>
      </c>
      <c r="B263" s="140">
        <f>SUMIF($A$2:$A$255,A263,$E$2:$E$255)</f>
        <v>310.09000000000003</v>
      </c>
      <c r="C263" s="140">
        <f>SUMIF($A$2:$A$255,A263,$F$2:$F$255)</f>
        <v>442.13299999999998</v>
      </c>
      <c r="D263">
        <v>49</v>
      </c>
      <c r="E263" s="144">
        <f>H155</f>
        <v>34.959999999999994</v>
      </c>
      <c r="I263">
        <v>15.04</v>
      </c>
      <c r="J263" s="140">
        <f t="shared" si="0"/>
        <v>477.09299999999996</v>
      </c>
      <c r="K263">
        <v>49</v>
      </c>
    </row>
    <row r="264" spans="1:11">
      <c r="A264">
        <v>20.04</v>
      </c>
      <c r="B264" s="140">
        <f>SUMIF($A$2:$A$255,A264,$E$2:$E$255)</f>
        <v>222.99</v>
      </c>
      <c r="C264" s="140">
        <f>SUMIF($A$2:$A$255,A264,$F$2:$F$255)</f>
        <v>326.04200000000003</v>
      </c>
      <c r="D264">
        <v>49</v>
      </c>
      <c r="E264" s="144">
        <f>H180</f>
        <v>32.774999999999999</v>
      </c>
      <c r="I264">
        <v>20.04</v>
      </c>
      <c r="J264" s="140">
        <f t="shared" si="0"/>
        <v>358.81700000000001</v>
      </c>
      <c r="K264">
        <v>49</v>
      </c>
    </row>
    <row r="265" spans="1:11">
      <c r="A265">
        <v>22.04</v>
      </c>
      <c r="B265" s="140">
        <f>SUMIF($A$2:$A$255,A265,$E$2:$E$255)</f>
        <v>478.66999999999996</v>
      </c>
      <c r="C265" s="140">
        <f>SUMIF($A$2:$A$255,A265,$F$2:$F$255)</f>
        <v>1084.1389999999999</v>
      </c>
      <c r="D265">
        <v>49</v>
      </c>
      <c r="E265" s="144">
        <f>H197</f>
        <v>50.724999999999994</v>
      </c>
      <c r="I265">
        <v>22.04</v>
      </c>
      <c r="J265" s="140">
        <f t="shared" si="0"/>
        <v>1134.8639999999998</v>
      </c>
      <c r="K265">
        <v>49</v>
      </c>
    </row>
    <row r="266" spans="1:11">
      <c r="A266">
        <v>27.04</v>
      </c>
      <c r="B266" s="140">
        <f>SUMIF($A$2:$A$255,A266,$E$2:$E$255)</f>
        <v>409.964</v>
      </c>
      <c r="C266" s="140">
        <f>SUMIF($A$2:$A$255,A266,$F$2:$F$255)</f>
        <v>558.18320000000006</v>
      </c>
      <c r="D266">
        <v>49</v>
      </c>
      <c r="E266" s="144">
        <f>H239</f>
        <v>40.58</v>
      </c>
      <c r="I266">
        <v>27.04</v>
      </c>
      <c r="J266" s="140">
        <f t="shared" si="0"/>
        <v>598.7632000000001</v>
      </c>
      <c r="K266">
        <v>49</v>
      </c>
    </row>
    <row r="267" spans="1:11">
      <c r="A267">
        <v>29.04</v>
      </c>
      <c r="B267" s="140">
        <f>SUMIF($A$2:$A$255,A267,$E$2:$E$255)</f>
        <v>218.08999999999997</v>
      </c>
      <c r="C267" s="140">
        <f>SUMIF($A$2:$A$255,A267,$F$2:$F$255)</f>
        <v>308.74700000000001</v>
      </c>
      <c r="D267">
        <v>49</v>
      </c>
      <c r="E267" s="144">
        <f>H255</f>
        <v>40.58</v>
      </c>
      <c r="I267">
        <v>29.04</v>
      </c>
      <c r="J267" s="140">
        <f>SUMIF($A$2:$A$255,I267,$F$2:$F$255)+E267</f>
        <v>349.327</v>
      </c>
      <c r="K267">
        <v>49</v>
      </c>
    </row>
    <row r="268" spans="1:11">
      <c r="A268" s="179" t="s">
        <v>499</v>
      </c>
      <c r="B268" s="180">
        <f>SUM(B259:B267)</f>
        <v>2770.4390000000003</v>
      </c>
      <c r="C268" s="180">
        <f>SUM(C259:C267)</f>
        <v>4245.8806999999997</v>
      </c>
      <c r="D268">
        <f>SUM(D259:D267)</f>
        <v>441</v>
      </c>
      <c r="I268" s="179" t="s">
        <v>499</v>
      </c>
      <c r="J268" s="180">
        <f>SUM(J259:J267)</f>
        <v>4563.2507000000005</v>
      </c>
      <c r="K268">
        <f>SUM(K259:K267)</f>
        <v>441</v>
      </c>
    </row>
    <row r="271" spans="1:11">
      <c r="C271" s="144">
        <f>(C268-B268)/B268</f>
        <v>0.53256603014901216</v>
      </c>
    </row>
  </sheetData>
  <autoFilter ref="A1:L1" xr:uid="{34319B7E-FFE4-47B2-A27E-D5710B2227E8}"/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9FAE-575F-45F8-930A-F63D608F73E0}">
  <dimension ref="A1:E26"/>
  <sheetViews>
    <sheetView topLeftCell="A9" workbookViewId="0">
      <selection activeCell="A23" sqref="A23"/>
    </sheetView>
  </sheetViews>
  <sheetFormatPr defaultRowHeight="15"/>
  <cols>
    <col min="1" max="1" width="24.140625" customWidth="1"/>
    <col min="2" max="2" width="8.7109375" bestFit="1" customWidth="1"/>
    <col min="3" max="3" width="10.140625" bestFit="1" customWidth="1"/>
    <col min="4" max="4" width="16.140625" customWidth="1"/>
    <col min="5" max="5" width="10.5703125" customWidth="1"/>
  </cols>
  <sheetData>
    <row r="1" spans="1:5">
      <c r="A1" s="193" t="s">
        <v>93</v>
      </c>
      <c r="B1" s="193" t="s">
        <v>94</v>
      </c>
      <c r="C1" s="193" t="s">
        <v>98</v>
      </c>
      <c r="D1" s="193" t="s">
        <v>637</v>
      </c>
      <c r="E1" s="192" t="s">
        <v>100</v>
      </c>
    </row>
    <row r="2" spans="1:5">
      <c r="A2" s="4" t="s">
        <v>272</v>
      </c>
      <c r="B2" s="4">
        <v>5</v>
      </c>
      <c r="C2" s="4" t="s">
        <v>7</v>
      </c>
      <c r="D2" s="194">
        <v>1.64</v>
      </c>
      <c r="E2" s="195">
        <f>B2*D2</f>
        <v>8.1999999999999993</v>
      </c>
    </row>
    <row r="3" spans="1:5">
      <c r="A3" s="4" t="s">
        <v>638</v>
      </c>
      <c r="B3" s="4">
        <v>1</v>
      </c>
      <c r="C3" s="4" t="s">
        <v>151</v>
      </c>
      <c r="D3" s="194">
        <v>2.59</v>
      </c>
      <c r="E3" s="195">
        <f>D3</f>
        <v>2.59</v>
      </c>
    </row>
    <row r="4" spans="1:5">
      <c r="A4" s="4" t="s">
        <v>639</v>
      </c>
      <c r="B4" s="4">
        <v>1</v>
      </c>
      <c r="C4" s="4" t="s">
        <v>151</v>
      </c>
      <c r="D4" s="194">
        <v>2.99</v>
      </c>
      <c r="E4" s="195">
        <f>D4</f>
        <v>2.99</v>
      </c>
    </row>
    <row r="5" spans="1:5">
      <c r="A5" s="4" t="s">
        <v>450</v>
      </c>
      <c r="B5" s="4">
        <v>2</v>
      </c>
      <c r="C5" s="4" t="s">
        <v>640</v>
      </c>
      <c r="D5" s="194">
        <v>1.86</v>
      </c>
      <c r="E5" s="195">
        <f>B5*D5</f>
        <v>3.72</v>
      </c>
    </row>
    <row r="6" spans="1:5">
      <c r="A6" s="4" t="s">
        <v>409</v>
      </c>
      <c r="B6" s="4">
        <v>0.5</v>
      </c>
      <c r="C6" s="4" t="s">
        <v>7</v>
      </c>
      <c r="D6" s="194">
        <v>2.19</v>
      </c>
      <c r="E6" s="195">
        <f>B6*D6</f>
        <v>1.095</v>
      </c>
    </row>
    <row r="7" spans="1:5">
      <c r="A7" s="4" t="s">
        <v>641</v>
      </c>
      <c r="B7" s="4">
        <v>1</v>
      </c>
      <c r="C7" s="4" t="s">
        <v>7</v>
      </c>
      <c r="D7" s="194">
        <v>2.4900000000000002</v>
      </c>
      <c r="E7" s="195">
        <f>D7</f>
        <v>2.4900000000000002</v>
      </c>
    </row>
    <row r="8" spans="1:5">
      <c r="A8" s="4" t="s">
        <v>392</v>
      </c>
      <c r="B8" s="4">
        <v>1</v>
      </c>
      <c r="C8" s="4" t="s">
        <v>642</v>
      </c>
      <c r="D8" s="194">
        <v>5.05</v>
      </c>
      <c r="E8" s="195">
        <f>B8*D8</f>
        <v>5.05</v>
      </c>
    </row>
    <row r="9" spans="1:5">
      <c r="A9" s="4" t="s">
        <v>643</v>
      </c>
      <c r="B9" s="4">
        <v>1</v>
      </c>
      <c r="C9" s="4" t="s">
        <v>7</v>
      </c>
      <c r="D9" s="194">
        <v>3.16</v>
      </c>
      <c r="E9" s="195">
        <f>B9*D9</f>
        <v>3.16</v>
      </c>
    </row>
    <row r="10" spans="1:5">
      <c r="A10" s="4" t="s">
        <v>271</v>
      </c>
      <c r="B10" s="4">
        <v>1</v>
      </c>
      <c r="C10" s="4" t="s">
        <v>644</v>
      </c>
      <c r="D10" s="194">
        <v>8.7899999999999991</v>
      </c>
      <c r="E10" s="195">
        <f>B10*D10</f>
        <v>8.7899999999999991</v>
      </c>
    </row>
    <row r="11" spans="1:5">
      <c r="A11" s="4" t="s">
        <v>449</v>
      </c>
      <c r="B11" s="4">
        <v>1</v>
      </c>
      <c r="C11" s="4" t="s">
        <v>7</v>
      </c>
      <c r="D11" s="194">
        <v>2.04</v>
      </c>
      <c r="E11" s="195">
        <f>B11*D11</f>
        <v>2.04</v>
      </c>
    </row>
    <row r="12" spans="1:5">
      <c r="A12" s="4" t="s">
        <v>371</v>
      </c>
      <c r="B12" s="4">
        <v>2</v>
      </c>
      <c r="C12" s="4" t="s">
        <v>7</v>
      </c>
      <c r="D12" s="194">
        <v>2.19</v>
      </c>
      <c r="E12" s="195">
        <f>B12*D12</f>
        <v>4.38</v>
      </c>
    </row>
    <row r="13" spans="1:5">
      <c r="A13" s="4"/>
      <c r="B13" s="4"/>
      <c r="C13" s="4"/>
      <c r="D13" s="194"/>
      <c r="E13" s="195"/>
    </row>
    <row r="14" spans="1:5">
      <c r="A14" s="4" t="s">
        <v>279</v>
      </c>
      <c r="B14" s="4">
        <v>2</v>
      </c>
      <c r="C14" s="4" t="s">
        <v>7</v>
      </c>
      <c r="D14" s="194">
        <v>2.52</v>
      </c>
      <c r="E14" s="195">
        <f>B14*D14</f>
        <v>5.04</v>
      </c>
    </row>
    <row r="15" spans="1:5">
      <c r="A15" s="4" t="s">
        <v>405</v>
      </c>
      <c r="B15" s="4">
        <v>1</v>
      </c>
      <c r="C15" s="4" t="s">
        <v>7</v>
      </c>
      <c r="D15" s="194">
        <v>3.29</v>
      </c>
      <c r="E15" s="195">
        <f>B15*D15</f>
        <v>3.29</v>
      </c>
    </row>
    <row r="16" spans="1:5">
      <c r="A16" s="4" t="s">
        <v>645</v>
      </c>
      <c r="B16" s="4">
        <v>0.5</v>
      </c>
      <c r="C16" s="4" t="s">
        <v>7</v>
      </c>
      <c r="D16" s="194">
        <v>2.64</v>
      </c>
      <c r="E16" s="195">
        <f>D16*B16</f>
        <v>1.32</v>
      </c>
    </row>
    <row r="17" spans="1:5">
      <c r="A17" s="4" t="s">
        <v>646</v>
      </c>
      <c r="B17" s="4">
        <v>3</v>
      </c>
      <c r="C17" s="4" t="s">
        <v>7</v>
      </c>
      <c r="D17" s="194">
        <v>7.74</v>
      </c>
      <c r="E17" s="195">
        <f>B17*D17</f>
        <v>23.22</v>
      </c>
    </row>
    <row r="18" spans="1:5">
      <c r="A18" s="4" t="s">
        <v>647</v>
      </c>
      <c r="B18" s="4">
        <v>12</v>
      </c>
      <c r="C18" s="4" t="s">
        <v>147</v>
      </c>
      <c r="D18" s="194">
        <v>1.79</v>
      </c>
      <c r="E18" s="195">
        <f>B18*D18</f>
        <v>21.48</v>
      </c>
    </row>
    <row r="19" spans="1:5">
      <c r="A19" s="4" t="s">
        <v>621</v>
      </c>
      <c r="B19" s="4">
        <v>8</v>
      </c>
      <c r="C19" s="4" t="s">
        <v>610</v>
      </c>
      <c r="D19" s="194">
        <v>0.87</v>
      </c>
      <c r="E19" s="195">
        <f>B19*D19</f>
        <v>6.96</v>
      </c>
    </row>
    <row r="20" spans="1:5">
      <c r="A20" s="4" t="s">
        <v>648</v>
      </c>
      <c r="B20" s="4">
        <v>8</v>
      </c>
      <c r="C20" s="4" t="s">
        <v>610</v>
      </c>
      <c r="D20" s="194">
        <v>0.87</v>
      </c>
      <c r="E20" s="195">
        <f>B20*D20</f>
        <v>6.96</v>
      </c>
    </row>
    <row r="21" spans="1:5">
      <c r="A21" s="4" t="s">
        <v>649</v>
      </c>
      <c r="B21" s="4">
        <v>8</v>
      </c>
      <c r="C21" s="4" t="s">
        <v>610</v>
      </c>
      <c r="D21" s="194">
        <v>0.87</v>
      </c>
      <c r="E21" s="195">
        <f>B21*D21</f>
        <v>6.96</v>
      </c>
    </row>
    <row r="22" spans="1:5">
      <c r="A22" s="4" t="s">
        <v>650</v>
      </c>
      <c r="B22" s="4">
        <v>2</v>
      </c>
      <c r="C22" s="4" t="s">
        <v>651</v>
      </c>
      <c r="D22" s="194">
        <v>6.4</v>
      </c>
      <c r="E22" s="195">
        <f>B22*D22</f>
        <v>12.8</v>
      </c>
    </row>
    <row r="23" spans="1:5">
      <c r="A23" s="4" t="s">
        <v>652</v>
      </c>
      <c r="B23" s="4">
        <v>10</v>
      </c>
      <c r="C23" s="4" t="s">
        <v>217</v>
      </c>
      <c r="D23" s="194">
        <v>0.28999999999999998</v>
      </c>
      <c r="E23" s="195">
        <f>B23*D23</f>
        <v>2.9</v>
      </c>
    </row>
    <row r="24" spans="1:5">
      <c r="A24" s="4" t="s">
        <v>653</v>
      </c>
      <c r="B24" s="4">
        <v>20</v>
      </c>
      <c r="C24" s="4" t="s">
        <v>217</v>
      </c>
      <c r="D24" s="194">
        <v>0.67</v>
      </c>
      <c r="E24" s="195">
        <f>B24*D24</f>
        <v>13.4</v>
      </c>
    </row>
    <row r="25" spans="1:5">
      <c r="A25" s="4" t="s">
        <v>273</v>
      </c>
      <c r="B25" s="4">
        <v>4</v>
      </c>
      <c r="C25" s="4" t="s">
        <v>151</v>
      </c>
      <c r="D25" s="194">
        <v>2.34</v>
      </c>
      <c r="E25" s="195">
        <f>B25*D25</f>
        <v>9.36</v>
      </c>
    </row>
    <row r="26" spans="1:5">
      <c r="A26" s="196"/>
      <c r="B26" s="196"/>
      <c r="C26" s="196"/>
      <c r="D26" s="197" t="s">
        <v>311</v>
      </c>
      <c r="E26" s="198">
        <f>SUM(E2:E25)</f>
        <v>158.19499999999999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178D-25F3-45B0-9383-7C2CE6F76395}">
  <dimension ref="A1:E22"/>
  <sheetViews>
    <sheetView topLeftCell="A4" workbookViewId="0">
      <selection activeCell="J15" sqref="J15"/>
    </sheetView>
  </sheetViews>
  <sheetFormatPr defaultRowHeight="15"/>
  <cols>
    <col min="1" max="1" width="24.7109375" customWidth="1"/>
    <col min="2" max="2" width="13.28515625" customWidth="1"/>
    <col min="3" max="4" width="17.140625" customWidth="1"/>
    <col min="5" max="5" width="15.28515625" customWidth="1"/>
  </cols>
  <sheetData>
    <row r="1" spans="1:5">
      <c r="A1" s="199" t="s">
        <v>93</v>
      </c>
      <c r="B1" s="199" t="s">
        <v>94</v>
      </c>
      <c r="C1" s="199" t="s">
        <v>98</v>
      </c>
      <c r="D1" s="199" t="s">
        <v>637</v>
      </c>
      <c r="E1" s="199" t="s">
        <v>100</v>
      </c>
    </row>
    <row r="2" spans="1:5">
      <c r="A2" s="200" t="s">
        <v>654</v>
      </c>
      <c r="B2" s="200">
        <v>72</v>
      </c>
      <c r="C2" s="200" t="s">
        <v>102</v>
      </c>
      <c r="D2" s="200">
        <v>0.69</v>
      </c>
      <c r="E2" s="200">
        <f>IF(D2="","",B2*D2)</f>
        <v>49.679999999999993</v>
      </c>
    </row>
    <row r="3" spans="1:5">
      <c r="A3" s="200" t="s">
        <v>655</v>
      </c>
      <c r="B3" s="200">
        <v>8</v>
      </c>
      <c r="C3" s="200" t="s">
        <v>610</v>
      </c>
      <c r="D3" s="200">
        <v>0.87</v>
      </c>
      <c r="E3" s="200">
        <f t="shared" ref="E3:E21" si="0">IF(D3="","",B3*D3)</f>
        <v>6.96</v>
      </c>
    </row>
    <row r="4" spans="1:5">
      <c r="A4" s="200" t="s">
        <v>656</v>
      </c>
      <c r="B4" s="200">
        <v>8</v>
      </c>
      <c r="C4" s="200" t="s">
        <v>610</v>
      </c>
      <c r="D4" s="200">
        <v>0.87</v>
      </c>
      <c r="E4" s="200">
        <f t="shared" si="0"/>
        <v>6.96</v>
      </c>
    </row>
    <row r="5" spans="1:5">
      <c r="A5" s="200" t="s">
        <v>621</v>
      </c>
      <c r="B5" s="200">
        <v>8</v>
      </c>
      <c r="C5" s="200" t="s">
        <v>610</v>
      </c>
      <c r="D5" s="200">
        <v>0.87</v>
      </c>
      <c r="E5" s="200">
        <f t="shared" si="0"/>
        <v>6.96</v>
      </c>
    </row>
    <row r="6" spans="1:5">
      <c r="A6" s="200" t="s">
        <v>436</v>
      </c>
      <c r="B6" s="200">
        <v>24</v>
      </c>
      <c r="C6" s="200" t="s">
        <v>147</v>
      </c>
      <c r="D6" s="200">
        <v>1.79</v>
      </c>
      <c r="E6" s="200">
        <f t="shared" si="0"/>
        <v>42.96</v>
      </c>
    </row>
    <row r="7" spans="1:5">
      <c r="A7" s="200" t="s">
        <v>657</v>
      </c>
      <c r="B7" s="200">
        <v>24</v>
      </c>
      <c r="C7" s="200" t="s">
        <v>147</v>
      </c>
      <c r="D7" s="200">
        <v>1.64</v>
      </c>
      <c r="E7" s="200">
        <f t="shared" si="0"/>
        <v>39.36</v>
      </c>
    </row>
    <row r="8" spans="1:5">
      <c r="A8" s="200" t="s">
        <v>658</v>
      </c>
      <c r="B8" s="200">
        <v>3</v>
      </c>
      <c r="C8" s="200" t="s">
        <v>151</v>
      </c>
      <c r="D8" s="200">
        <v>2.06</v>
      </c>
      <c r="E8" s="200">
        <f t="shared" si="0"/>
        <v>6.18</v>
      </c>
    </row>
    <row r="9" spans="1:5">
      <c r="A9" s="200" t="s">
        <v>659</v>
      </c>
      <c r="B9" s="200">
        <v>6</v>
      </c>
      <c r="C9" s="200" t="s">
        <v>660</v>
      </c>
      <c r="D9" s="200">
        <v>1.78</v>
      </c>
      <c r="E9" s="200">
        <f t="shared" si="0"/>
        <v>10.68</v>
      </c>
    </row>
    <row r="10" spans="1:5">
      <c r="A10" s="200" t="s">
        <v>639</v>
      </c>
      <c r="B10" s="200">
        <v>4</v>
      </c>
      <c r="C10" s="200" t="s">
        <v>661</v>
      </c>
      <c r="D10" s="200">
        <v>2.99</v>
      </c>
      <c r="E10" s="200">
        <f t="shared" si="0"/>
        <v>11.96</v>
      </c>
    </row>
    <row r="11" spans="1:5">
      <c r="A11" s="200" t="s">
        <v>271</v>
      </c>
      <c r="B11" s="200">
        <v>1</v>
      </c>
      <c r="C11" s="200" t="s">
        <v>644</v>
      </c>
      <c r="D11" s="200">
        <v>8.7899999999999991</v>
      </c>
      <c r="E11" s="200">
        <f t="shared" si="0"/>
        <v>8.7899999999999991</v>
      </c>
    </row>
    <row r="12" spans="1:5">
      <c r="A12" s="200" t="s">
        <v>272</v>
      </c>
      <c r="B12" s="200">
        <v>2</v>
      </c>
      <c r="C12" s="200" t="s">
        <v>7</v>
      </c>
      <c r="D12" s="200">
        <v>1.79</v>
      </c>
      <c r="E12" s="200">
        <f t="shared" si="0"/>
        <v>3.58</v>
      </c>
    </row>
    <row r="13" spans="1:5">
      <c r="A13" s="200" t="s">
        <v>449</v>
      </c>
      <c r="B13" s="200">
        <v>2</v>
      </c>
      <c r="C13" s="200" t="s">
        <v>7</v>
      </c>
      <c r="D13" s="200">
        <v>2.99</v>
      </c>
      <c r="E13" s="200">
        <f t="shared" si="0"/>
        <v>5.98</v>
      </c>
    </row>
    <row r="14" spans="1:5">
      <c r="A14" s="200" t="s">
        <v>450</v>
      </c>
      <c r="B14" s="200">
        <v>4</v>
      </c>
      <c r="C14" s="200" t="s">
        <v>640</v>
      </c>
      <c r="D14" s="200">
        <v>1.89</v>
      </c>
      <c r="E14" s="200">
        <f t="shared" si="0"/>
        <v>7.56</v>
      </c>
    </row>
    <row r="15" spans="1:5">
      <c r="A15" s="200" t="s">
        <v>279</v>
      </c>
      <c r="B15" s="200">
        <v>4</v>
      </c>
      <c r="C15" s="200" t="s">
        <v>151</v>
      </c>
      <c r="D15" s="200">
        <v>2.52</v>
      </c>
      <c r="E15" s="200">
        <f t="shared" si="0"/>
        <v>10.08</v>
      </c>
    </row>
    <row r="16" spans="1:5">
      <c r="A16" s="200" t="s">
        <v>371</v>
      </c>
      <c r="B16" s="200">
        <v>3</v>
      </c>
      <c r="C16" s="200" t="s">
        <v>7</v>
      </c>
      <c r="D16" s="200">
        <v>2.99</v>
      </c>
      <c r="E16" s="200">
        <f t="shared" si="0"/>
        <v>8.9700000000000006</v>
      </c>
    </row>
    <row r="17" spans="1:5">
      <c r="A17" s="200" t="s">
        <v>392</v>
      </c>
      <c r="B17" s="200">
        <v>1</v>
      </c>
      <c r="C17" s="200" t="s">
        <v>642</v>
      </c>
      <c r="D17" s="200">
        <v>5.05</v>
      </c>
      <c r="E17" s="200">
        <f t="shared" si="0"/>
        <v>5.05</v>
      </c>
    </row>
    <row r="18" spans="1:5">
      <c r="A18" s="200" t="s">
        <v>405</v>
      </c>
      <c r="B18" s="200">
        <v>1</v>
      </c>
      <c r="C18" s="200" t="s">
        <v>7</v>
      </c>
      <c r="D18" s="200">
        <v>3.29</v>
      </c>
      <c r="E18" s="200">
        <f t="shared" si="0"/>
        <v>3.29</v>
      </c>
    </row>
    <row r="19" spans="1:5">
      <c r="A19" s="200" t="s">
        <v>652</v>
      </c>
      <c r="B19" s="200">
        <v>10</v>
      </c>
      <c r="C19" s="200" t="s">
        <v>217</v>
      </c>
      <c r="D19" s="200">
        <v>0.28999999999999998</v>
      </c>
      <c r="E19" s="200">
        <f t="shared" si="0"/>
        <v>2.9</v>
      </c>
    </row>
    <row r="20" spans="1:5">
      <c r="A20" s="200" t="s">
        <v>653</v>
      </c>
      <c r="B20" s="200">
        <v>20</v>
      </c>
      <c r="C20" s="200" t="s">
        <v>217</v>
      </c>
      <c r="D20" s="200">
        <v>0.67</v>
      </c>
      <c r="E20" s="200">
        <f t="shared" si="0"/>
        <v>13.4</v>
      </c>
    </row>
    <row r="21" spans="1:5">
      <c r="A21" s="200" t="s">
        <v>273</v>
      </c>
      <c r="B21" s="200">
        <v>6</v>
      </c>
      <c r="C21" s="200" t="s">
        <v>151</v>
      </c>
      <c r="D21" s="200">
        <v>2.34</v>
      </c>
      <c r="E21" s="200">
        <f t="shared" si="0"/>
        <v>14.04</v>
      </c>
    </row>
    <row r="22" spans="1:5">
      <c r="A22" s="200"/>
      <c r="B22" s="200"/>
      <c r="C22" s="200"/>
      <c r="D22" s="201" t="s">
        <v>311</v>
      </c>
      <c r="E22" s="202">
        <f>SUM(E2:E21)</f>
        <v>265.34000000000003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7886-98E1-4DBB-A6FF-F71E6666E1E2}">
  <dimension ref="A1:E33"/>
  <sheetViews>
    <sheetView topLeftCell="A12" workbookViewId="0">
      <selection activeCell="A29" sqref="A29"/>
    </sheetView>
  </sheetViews>
  <sheetFormatPr defaultRowHeight="15"/>
  <cols>
    <col min="1" max="1" width="39.5703125" customWidth="1"/>
    <col min="2" max="2" width="8.7109375" bestFit="1" customWidth="1"/>
    <col min="3" max="3" width="10.7109375" customWidth="1"/>
    <col min="4" max="4" width="15.42578125" customWidth="1"/>
    <col min="5" max="5" width="12.42578125" customWidth="1"/>
  </cols>
  <sheetData>
    <row r="1" spans="1:5">
      <c r="A1" s="193" t="s">
        <v>93</v>
      </c>
      <c r="B1" s="193" t="s">
        <v>94</v>
      </c>
      <c r="C1" s="193" t="s">
        <v>98</v>
      </c>
      <c r="D1" s="193" t="s">
        <v>637</v>
      </c>
      <c r="E1" s="193" t="s">
        <v>100</v>
      </c>
    </row>
    <row r="2" spans="1:5">
      <c r="A2" s="4" t="s">
        <v>662</v>
      </c>
      <c r="B2" s="4">
        <v>12</v>
      </c>
      <c r="C2" s="4" t="s">
        <v>147</v>
      </c>
      <c r="D2" s="194">
        <v>1.6120000000000001</v>
      </c>
      <c r="E2" s="194">
        <f>B2*D2</f>
        <v>19.344000000000001</v>
      </c>
    </row>
    <row r="3" spans="1:5">
      <c r="A3" s="4" t="s">
        <v>404</v>
      </c>
      <c r="B3" s="4">
        <v>6</v>
      </c>
      <c r="C3" s="4" t="s">
        <v>147</v>
      </c>
      <c r="D3" s="194">
        <v>1.4470000000000001</v>
      </c>
      <c r="E3" s="194">
        <f>B3*D3</f>
        <v>8.6820000000000004</v>
      </c>
    </row>
    <row r="4" spans="1:5">
      <c r="A4" s="4" t="s">
        <v>663</v>
      </c>
      <c r="B4" s="4">
        <v>6</v>
      </c>
      <c r="C4" s="4" t="s">
        <v>147</v>
      </c>
      <c r="D4" s="194">
        <v>1.59</v>
      </c>
      <c r="E4" s="194">
        <f>B4*D4</f>
        <v>9.5400000000000009</v>
      </c>
    </row>
    <row r="5" spans="1:5">
      <c r="A5" s="4" t="s">
        <v>664</v>
      </c>
      <c r="B5" s="4">
        <v>3</v>
      </c>
      <c r="C5" s="4" t="s">
        <v>665</v>
      </c>
      <c r="D5" s="194">
        <v>2.52</v>
      </c>
      <c r="E5" s="194">
        <f>B5*D5</f>
        <v>7.5600000000000005</v>
      </c>
    </row>
    <row r="6" spans="1:5">
      <c r="A6" s="4" t="s">
        <v>666</v>
      </c>
      <c r="B6" s="4">
        <v>1</v>
      </c>
      <c r="C6" s="4" t="s">
        <v>667</v>
      </c>
      <c r="D6" s="194">
        <v>10.050000000000001</v>
      </c>
      <c r="E6" s="194">
        <f>B6*D6</f>
        <v>10.050000000000001</v>
      </c>
    </row>
    <row r="7" spans="1:5">
      <c r="A7" s="4" t="s">
        <v>212</v>
      </c>
      <c r="B7" s="4">
        <v>1</v>
      </c>
      <c r="C7" s="4" t="s">
        <v>7</v>
      </c>
      <c r="D7" s="194">
        <v>8.49</v>
      </c>
      <c r="E7" s="194">
        <f>B7*D7</f>
        <v>8.49</v>
      </c>
    </row>
    <row r="8" spans="1:5">
      <c r="A8" s="4" t="s">
        <v>668</v>
      </c>
      <c r="B8" s="4">
        <v>30</v>
      </c>
      <c r="C8" s="4" t="s">
        <v>188</v>
      </c>
      <c r="D8" s="194">
        <v>1.1399999999999999</v>
      </c>
      <c r="E8" s="194">
        <f>B8*D8</f>
        <v>34.199999999999996</v>
      </c>
    </row>
    <row r="9" spans="1:5">
      <c r="A9" s="4" t="s">
        <v>669</v>
      </c>
      <c r="B9" s="4">
        <v>1</v>
      </c>
      <c r="C9" s="4" t="s">
        <v>293</v>
      </c>
      <c r="D9" s="194">
        <v>19</v>
      </c>
      <c r="E9" s="194">
        <f>B9*D9</f>
        <v>19</v>
      </c>
    </row>
    <row r="10" spans="1:5">
      <c r="A10" s="4" t="s">
        <v>670</v>
      </c>
      <c r="B10" s="4">
        <v>9</v>
      </c>
      <c r="C10" s="4" t="s">
        <v>293</v>
      </c>
      <c r="D10" s="194">
        <v>3.89</v>
      </c>
      <c r="E10" s="194">
        <f>B10*D10</f>
        <v>35.01</v>
      </c>
    </row>
    <row r="11" spans="1:5">
      <c r="A11" s="4" t="s">
        <v>648</v>
      </c>
      <c r="B11" s="4">
        <v>12</v>
      </c>
      <c r="C11" s="4" t="s">
        <v>610</v>
      </c>
      <c r="D11" s="194">
        <v>0.81</v>
      </c>
      <c r="E11" s="194">
        <f>B11*D11</f>
        <v>9.7200000000000006</v>
      </c>
    </row>
    <row r="12" spans="1:5">
      <c r="A12" s="4" t="s">
        <v>621</v>
      </c>
      <c r="B12" s="4">
        <v>8</v>
      </c>
      <c r="C12" s="4" t="s">
        <v>610</v>
      </c>
      <c r="D12" s="194">
        <v>0.57999999999999996</v>
      </c>
      <c r="E12" s="194">
        <f>B12*D12</f>
        <v>4.6399999999999997</v>
      </c>
    </row>
    <row r="13" spans="1:5">
      <c r="A13" s="4" t="s">
        <v>671</v>
      </c>
      <c r="B13" s="4">
        <v>6</v>
      </c>
      <c r="C13" s="4" t="s">
        <v>610</v>
      </c>
      <c r="D13" s="194">
        <v>0.81</v>
      </c>
      <c r="E13" s="194">
        <f>B13*D13</f>
        <v>4.8600000000000003</v>
      </c>
    </row>
    <row r="14" spans="1:5">
      <c r="A14" s="4" t="s">
        <v>672</v>
      </c>
      <c r="B14" s="4">
        <v>1</v>
      </c>
      <c r="C14" s="4" t="s">
        <v>293</v>
      </c>
      <c r="D14" s="194">
        <v>1.49</v>
      </c>
      <c r="E14" s="194">
        <f>B14*D14</f>
        <v>1.49</v>
      </c>
    </row>
    <row r="15" spans="1:5">
      <c r="A15" s="4" t="s">
        <v>673</v>
      </c>
      <c r="B15" s="4">
        <v>1</v>
      </c>
      <c r="C15" s="4" t="s">
        <v>296</v>
      </c>
      <c r="D15" s="194">
        <v>1.24</v>
      </c>
      <c r="E15" s="194">
        <f>B15*D15</f>
        <v>1.24</v>
      </c>
    </row>
    <row r="16" spans="1:5">
      <c r="A16" s="4" t="s">
        <v>674</v>
      </c>
      <c r="B16" s="4">
        <v>6</v>
      </c>
      <c r="C16" s="4" t="s">
        <v>167</v>
      </c>
      <c r="D16" s="194">
        <v>1.7110000000000001</v>
      </c>
      <c r="E16" s="194">
        <f>B16*D16</f>
        <v>10.266</v>
      </c>
    </row>
    <row r="17" spans="1:5">
      <c r="A17" s="4" t="s">
        <v>675</v>
      </c>
      <c r="B17" s="4">
        <v>6</v>
      </c>
      <c r="C17" s="4" t="s">
        <v>167</v>
      </c>
      <c r="D17" s="194">
        <v>1.89</v>
      </c>
      <c r="E17" s="194">
        <f>B17*D17</f>
        <v>11.34</v>
      </c>
    </row>
    <row r="18" spans="1:5">
      <c r="A18" s="4" t="s">
        <v>676</v>
      </c>
      <c r="B18" s="4">
        <v>2</v>
      </c>
      <c r="C18" s="4" t="s">
        <v>188</v>
      </c>
      <c r="D18" s="194">
        <v>6.4</v>
      </c>
      <c r="E18" s="194">
        <f>B18*D18</f>
        <v>12.8</v>
      </c>
    </row>
    <row r="19" spans="1:5">
      <c r="A19" s="4" t="s">
        <v>272</v>
      </c>
      <c r="B19" s="4">
        <v>6</v>
      </c>
      <c r="C19" s="4" t="s">
        <v>7</v>
      </c>
      <c r="D19" s="194">
        <v>1.6519999999999999</v>
      </c>
      <c r="E19" s="194">
        <f>B19*D19</f>
        <v>9.911999999999999</v>
      </c>
    </row>
    <row r="20" spans="1:5">
      <c r="A20" s="4" t="s">
        <v>392</v>
      </c>
      <c r="B20" s="4">
        <v>1.5</v>
      </c>
      <c r="C20" s="4" t="s">
        <v>7</v>
      </c>
      <c r="D20" s="194">
        <v>3.4980000000000002</v>
      </c>
      <c r="E20" s="194">
        <f>B20*D20</f>
        <v>5.2469999999999999</v>
      </c>
    </row>
    <row r="21" spans="1:5">
      <c r="A21" s="4" t="s">
        <v>450</v>
      </c>
      <c r="B21" s="4">
        <v>0.4</v>
      </c>
      <c r="C21" s="4" t="s">
        <v>7</v>
      </c>
      <c r="D21" s="194">
        <v>9.4870000000000001</v>
      </c>
      <c r="E21" s="194">
        <f>B21*D21</f>
        <v>3.7948000000000004</v>
      </c>
    </row>
    <row r="22" spans="1:5">
      <c r="A22" s="4" t="s">
        <v>405</v>
      </c>
      <c r="B22" s="4">
        <v>4</v>
      </c>
      <c r="C22" s="4" t="s">
        <v>188</v>
      </c>
      <c r="D22" s="194">
        <v>0.82499999999999996</v>
      </c>
      <c r="E22" s="194">
        <f>B22*D22</f>
        <v>3.3</v>
      </c>
    </row>
    <row r="23" spans="1:5">
      <c r="A23" s="4" t="s">
        <v>677</v>
      </c>
      <c r="B23" s="4">
        <v>0.5</v>
      </c>
      <c r="C23" s="4" t="s">
        <v>7</v>
      </c>
      <c r="D23" s="194">
        <v>2.42</v>
      </c>
      <c r="E23" s="194">
        <f>B23*D23</f>
        <v>1.21</v>
      </c>
    </row>
    <row r="24" spans="1:5">
      <c r="A24" s="4" t="s">
        <v>409</v>
      </c>
      <c r="B24" s="4">
        <v>0.5</v>
      </c>
      <c r="C24" s="4" t="s">
        <v>7</v>
      </c>
      <c r="D24" s="194">
        <v>4.38</v>
      </c>
      <c r="E24" s="194">
        <f>B24*D24</f>
        <v>2.19</v>
      </c>
    </row>
    <row r="25" spans="1:5">
      <c r="A25" s="4" t="s">
        <v>371</v>
      </c>
      <c r="B25" s="4">
        <v>3</v>
      </c>
      <c r="C25" s="4" t="s">
        <v>7</v>
      </c>
      <c r="D25" s="194">
        <v>1.131</v>
      </c>
      <c r="E25" s="194">
        <f>B25*D25</f>
        <v>3.3929999999999998</v>
      </c>
    </row>
    <row r="26" spans="1:5">
      <c r="A26" s="203" t="s">
        <v>271</v>
      </c>
      <c r="B26" s="203">
        <v>1</v>
      </c>
      <c r="C26" s="203" t="s">
        <v>7</v>
      </c>
      <c r="D26" s="204">
        <v>4.9089999999999998</v>
      </c>
      <c r="E26" s="204">
        <f>B26*D26</f>
        <v>4.9089999999999998</v>
      </c>
    </row>
    <row r="27" spans="1:5">
      <c r="A27" s="200" t="s">
        <v>652</v>
      </c>
      <c r="B27" s="200">
        <v>10</v>
      </c>
      <c r="C27" s="200" t="s">
        <v>217</v>
      </c>
      <c r="D27" s="200">
        <v>0.28999999999999998</v>
      </c>
      <c r="E27" s="200">
        <f t="shared" ref="E27:E29" si="0">IF(D27="","",B27*D27)</f>
        <v>2.9</v>
      </c>
    </row>
    <row r="28" spans="1:5">
      <c r="A28" s="200" t="s">
        <v>653</v>
      </c>
      <c r="B28" s="200">
        <v>20</v>
      </c>
      <c r="C28" s="200" t="s">
        <v>217</v>
      </c>
      <c r="D28" s="200">
        <v>0.67</v>
      </c>
      <c r="E28" s="200">
        <f t="shared" si="0"/>
        <v>13.4</v>
      </c>
    </row>
    <row r="29" spans="1:5">
      <c r="A29" s="200" t="s">
        <v>273</v>
      </c>
      <c r="B29" s="200">
        <v>6</v>
      </c>
      <c r="C29" s="200" t="s">
        <v>151</v>
      </c>
      <c r="D29" s="200">
        <v>2.34</v>
      </c>
      <c r="E29" s="200">
        <f t="shared" si="0"/>
        <v>14.04</v>
      </c>
    </row>
    <row r="30" spans="1:5">
      <c r="A30" s="4"/>
      <c r="B30" s="4"/>
      <c r="C30" s="4"/>
      <c r="D30" s="194"/>
      <c r="E30" s="194" t="str">
        <f>IF(AND(B30&lt;&gt;"",D30&lt;&gt;""),B30*D30,"")</f>
        <v/>
      </c>
    </row>
    <row r="31" spans="1:5">
      <c r="A31" s="4"/>
      <c r="B31" s="4"/>
      <c r="C31" s="4"/>
      <c r="D31" s="194"/>
      <c r="E31" s="194" t="str">
        <f>IF(AND(B31&lt;&gt;"",D31&lt;&gt;""),B31*D31,"")</f>
        <v/>
      </c>
    </row>
    <row r="32" spans="1:5">
      <c r="A32" s="4"/>
      <c r="B32" s="4"/>
      <c r="C32" s="4"/>
      <c r="D32" s="194"/>
      <c r="E32" s="194" t="str">
        <f>IF(AND(B32&lt;&gt;"",D32&lt;&gt;""),B32*D32,"")</f>
        <v/>
      </c>
    </row>
    <row r="33" spans="1:5">
      <c r="A33" s="4"/>
      <c r="B33" s="4"/>
      <c r="C33" s="4"/>
      <c r="D33" s="205" t="s">
        <v>311</v>
      </c>
      <c r="E33" s="206">
        <f>SUM(E2:E32)</f>
        <v>272.52780000000007</v>
      </c>
    </row>
  </sheetData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26BC-520F-401B-B422-0EDB67D231E8}">
  <dimension ref="A1:E27"/>
  <sheetViews>
    <sheetView workbookViewId="0">
      <pane ySplit="1" topLeftCell="A2" activePane="bottomLeft" state="frozen"/>
      <selection pane="bottomLeft" activeCell="N17" sqref="N17"/>
    </sheetView>
  </sheetViews>
  <sheetFormatPr defaultRowHeight="15"/>
  <cols>
    <col min="1" max="1" width="38.140625" customWidth="1"/>
    <col min="2" max="2" width="13.28515625" customWidth="1"/>
    <col min="3" max="4" width="18.140625" customWidth="1"/>
    <col min="5" max="5" width="15.28515625" customWidth="1"/>
  </cols>
  <sheetData>
    <row r="1" spans="1:5">
      <c r="A1" s="207" t="s">
        <v>93</v>
      </c>
      <c r="B1" s="207" t="s">
        <v>94</v>
      </c>
      <c r="C1" s="207" t="s">
        <v>98</v>
      </c>
      <c r="D1" s="207" t="s">
        <v>637</v>
      </c>
      <c r="E1" s="207" t="s">
        <v>100</v>
      </c>
    </row>
    <row r="2" spans="1:5">
      <c r="A2" s="203" t="s">
        <v>662</v>
      </c>
      <c r="B2" s="203">
        <v>12</v>
      </c>
      <c r="C2" s="203" t="s">
        <v>147</v>
      </c>
      <c r="D2" s="194">
        <v>1.6120000000000001</v>
      </c>
      <c r="E2" s="204">
        <f>IF(AND(B2&lt;&gt;"",D2&lt;&gt;""),B2*D2,"")</f>
        <v>19.344000000000001</v>
      </c>
    </row>
    <row r="3" spans="1:5">
      <c r="A3" s="203" t="s">
        <v>663</v>
      </c>
      <c r="B3" s="203">
        <v>1</v>
      </c>
      <c r="C3" s="203" t="s">
        <v>147</v>
      </c>
      <c r="D3" s="194">
        <v>1.59</v>
      </c>
      <c r="E3" s="204">
        <f t="shared" ref="E3:E23" si="0">IF(AND(B3&lt;&gt;"",D3&lt;&gt;""),B3*D3,"")</f>
        <v>1.59</v>
      </c>
    </row>
    <row r="4" spans="1:5">
      <c r="A4" s="203" t="s">
        <v>404</v>
      </c>
      <c r="B4" s="203">
        <v>6</v>
      </c>
      <c r="C4" s="203" t="s">
        <v>147</v>
      </c>
      <c r="D4" s="194">
        <v>1.444</v>
      </c>
      <c r="E4" s="204">
        <f t="shared" si="0"/>
        <v>8.6639999999999997</v>
      </c>
    </row>
    <row r="5" spans="1:5">
      <c r="A5" s="203" t="s">
        <v>678</v>
      </c>
      <c r="B5" s="203">
        <v>5</v>
      </c>
      <c r="C5" s="203" t="s">
        <v>147</v>
      </c>
      <c r="D5" s="194">
        <v>2.9380000000000002</v>
      </c>
      <c r="E5" s="204">
        <f t="shared" si="0"/>
        <v>14.690000000000001</v>
      </c>
    </row>
    <row r="6" spans="1:5">
      <c r="A6" s="203" t="s">
        <v>607</v>
      </c>
      <c r="B6" s="203">
        <v>4</v>
      </c>
      <c r="C6" s="203" t="s">
        <v>147</v>
      </c>
      <c r="D6" s="194">
        <v>2.4500000000000002</v>
      </c>
      <c r="E6" s="204">
        <f t="shared" si="0"/>
        <v>9.8000000000000007</v>
      </c>
    </row>
    <row r="7" spans="1:5">
      <c r="A7" s="203" t="s">
        <v>452</v>
      </c>
      <c r="B7" s="203">
        <v>1</v>
      </c>
      <c r="C7" s="203" t="s">
        <v>679</v>
      </c>
      <c r="D7" s="194">
        <v>1.88</v>
      </c>
      <c r="E7" s="204">
        <f t="shared" si="0"/>
        <v>1.88</v>
      </c>
    </row>
    <row r="8" spans="1:5">
      <c r="A8" s="203" t="s">
        <v>680</v>
      </c>
      <c r="B8" s="203">
        <v>2</v>
      </c>
      <c r="C8" s="203" t="s">
        <v>151</v>
      </c>
      <c r="D8" s="194">
        <v>2.06</v>
      </c>
      <c r="E8" s="204">
        <f t="shared" si="0"/>
        <v>4.12</v>
      </c>
    </row>
    <row r="9" spans="1:5">
      <c r="A9" s="203" t="s">
        <v>681</v>
      </c>
      <c r="B9" s="203">
        <v>3</v>
      </c>
      <c r="C9" s="203" t="s">
        <v>151</v>
      </c>
      <c r="D9" s="194">
        <v>1.55</v>
      </c>
      <c r="E9" s="204">
        <f t="shared" si="0"/>
        <v>4.6500000000000004</v>
      </c>
    </row>
    <row r="10" spans="1:5">
      <c r="A10" s="203" t="s">
        <v>682</v>
      </c>
      <c r="B10" s="203">
        <v>4</v>
      </c>
      <c r="C10" s="203" t="s">
        <v>147</v>
      </c>
      <c r="D10" s="194">
        <v>2.4</v>
      </c>
      <c r="E10" s="204">
        <f t="shared" si="0"/>
        <v>9.6</v>
      </c>
    </row>
    <row r="11" spans="1:5">
      <c r="A11" s="203" t="s">
        <v>683</v>
      </c>
      <c r="B11" s="203">
        <v>5</v>
      </c>
      <c r="C11" s="203" t="s">
        <v>684</v>
      </c>
      <c r="D11" s="194">
        <v>1.1299999999999999</v>
      </c>
      <c r="E11" s="204">
        <f t="shared" si="0"/>
        <v>5.6499999999999995</v>
      </c>
    </row>
    <row r="12" spans="1:5">
      <c r="A12" s="203" t="s">
        <v>685</v>
      </c>
      <c r="B12" s="203">
        <v>10</v>
      </c>
      <c r="C12" s="203" t="s">
        <v>686</v>
      </c>
      <c r="D12" s="194">
        <v>1.59</v>
      </c>
      <c r="E12" s="204">
        <f t="shared" si="0"/>
        <v>15.9</v>
      </c>
    </row>
    <row r="13" spans="1:5">
      <c r="A13" s="203" t="s">
        <v>687</v>
      </c>
      <c r="B13" s="203">
        <v>6</v>
      </c>
      <c r="C13" s="203" t="s">
        <v>688</v>
      </c>
      <c r="D13" s="194">
        <v>2.29</v>
      </c>
      <c r="E13" s="204">
        <f t="shared" si="0"/>
        <v>13.74</v>
      </c>
    </row>
    <row r="14" spans="1:5">
      <c r="A14" s="203" t="s">
        <v>689</v>
      </c>
      <c r="B14" s="203">
        <v>2</v>
      </c>
      <c r="C14" s="203" t="s">
        <v>690</v>
      </c>
      <c r="D14" s="194">
        <v>1.24</v>
      </c>
      <c r="E14" s="204">
        <f t="shared" si="0"/>
        <v>2.48</v>
      </c>
    </row>
    <row r="15" spans="1:5">
      <c r="A15" s="203" t="s">
        <v>691</v>
      </c>
      <c r="B15" s="203">
        <v>10</v>
      </c>
      <c r="C15" s="203" t="s">
        <v>622</v>
      </c>
      <c r="D15" s="194">
        <v>0.52</v>
      </c>
      <c r="E15" s="204">
        <f t="shared" si="0"/>
        <v>5.2</v>
      </c>
    </row>
    <row r="16" spans="1:5">
      <c r="A16" s="203" t="s">
        <v>279</v>
      </c>
      <c r="B16" s="203">
        <v>1</v>
      </c>
      <c r="C16" s="203" t="s">
        <v>7</v>
      </c>
      <c r="D16" s="194">
        <v>5.0380000000000003</v>
      </c>
      <c r="E16" s="204">
        <f t="shared" si="0"/>
        <v>5.0380000000000003</v>
      </c>
    </row>
    <row r="17" spans="1:5">
      <c r="A17" s="203" t="s">
        <v>692</v>
      </c>
      <c r="B17" s="203">
        <v>0.4</v>
      </c>
      <c r="C17" s="203" t="s">
        <v>7</v>
      </c>
      <c r="D17" s="194">
        <v>2</v>
      </c>
      <c r="E17" s="204">
        <f t="shared" si="0"/>
        <v>0.8</v>
      </c>
    </row>
    <row r="18" spans="1:5">
      <c r="A18" s="203" t="s">
        <v>392</v>
      </c>
      <c r="B18" s="203">
        <v>1.5</v>
      </c>
      <c r="C18" s="203" t="s">
        <v>7</v>
      </c>
      <c r="D18" s="194">
        <v>3.5070000000000001</v>
      </c>
      <c r="E18" s="204">
        <f t="shared" si="0"/>
        <v>5.2605000000000004</v>
      </c>
    </row>
    <row r="19" spans="1:5">
      <c r="A19" s="203" t="s">
        <v>371</v>
      </c>
      <c r="B19" s="203">
        <v>3</v>
      </c>
      <c r="C19" s="203" t="s">
        <v>7</v>
      </c>
      <c r="D19" s="194">
        <v>1.1000000000000001</v>
      </c>
      <c r="E19" s="204">
        <f t="shared" si="0"/>
        <v>3.3000000000000003</v>
      </c>
    </row>
    <row r="20" spans="1:5">
      <c r="A20" s="203" t="s">
        <v>677</v>
      </c>
      <c r="B20" s="203">
        <v>0.5</v>
      </c>
      <c r="C20" s="203" t="s">
        <v>7</v>
      </c>
      <c r="D20" s="194">
        <v>2.42</v>
      </c>
      <c r="E20" s="204">
        <f t="shared" si="0"/>
        <v>1.21</v>
      </c>
    </row>
    <row r="21" spans="1:5">
      <c r="A21" s="203" t="s">
        <v>638</v>
      </c>
      <c r="B21" s="203">
        <v>1</v>
      </c>
      <c r="C21" s="203" t="s">
        <v>7</v>
      </c>
      <c r="D21" s="194">
        <v>5.18</v>
      </c>
      <c r="E21" s="204">
        <f t="shared" si="0"/>
        <v>5.18</v>
      </c>
    </row>
    <row r="22" spans="1:5">
      <c r="A22" s="203" t="s">
        <v>693</v>
      </c>
      <c r="B22" s="203">
        <v>1</v>
      </c>
      <c r="C22" s="203" t="s">
        <v>7</v>
      </c>
      <c r="D22" s="194">
        <v>4.734</v>
      </c>
      <c r="E22" s="204">
        <f t="shared" si="0"/>
        <v>4.734</v>
      </c>
    </row>
    <row r="23" spans="1:5">
      <c r="A23" s="203" t="s">
        <v>271</v>
      </c>
      <c r="B23" s="203">
        <v>3</v>
      </c>
      <c r="C23" s="203" t="s">
        <v>7</v>
      </c>
      <c r="D23" s="194">
        <v>1.722</v>
      </c>
      <c r="E23" s="204">
        <f t="shared" si="0"/>
        <v>5.1660000000000004</v>
      </c>
    </row>
    <row r="24" spans="1:5">
      <c r="A24" s="200" t="s">
        <v>652</v>
      </c>
      <c r="B24" s="200">
        <v>10</v>
      </c>
      <c r="C24" s="200" t="s">
        <v>217</v>
      </c>
      <c r="D24" s="200">
        <v>0.28999999999999998</v>
      </c>
      <c r="E24" s="200">
        <f t="shared" ref="E24:E26" si="1">IF(D24="","",B24*D24)</f>
        <v>2.9</v>
      </c>
    </row>
    <row r="25" spans="1:5">
      <c r="A25" s="200" t="s">
        <v>653</v>
      </c>
      <c r="B25" s="200">
        <v>20</v>
      </c>
      <c r="C25" s="200" t="s">
        <v>217</v>
      </c>
      <c r="D25" s="200">
        <v>0.67</v>
      </c>
      <c r="E25" s="200">
        <f t="shared" si="1"/>
        <v>13.4</v>
      </c>
    </row>
    <row r="26" spans="1:5">
      <c r="A26" s="200" t="s">
        <v>273</v>
      </c>
      <c r="B26" s="200">
        <v>6</v>
      </c>
      <c r="C26" s="200" t="s">
        <v>151</v>
      </c>
      <c r="D26" s="200">
        <v>2.34</v>
      </c>
      <c r="E26" s="200">
        <f t="shared" si="1"/>
        <v>14.04</v>
      </c>
    </row>
    <row r="27" spans="1:5">
      <c r="A27" s="4"/>
      <c r="B27" s="4"/>
      <c r="C27" s="4"/>
      <c r="D27" s="205" t="s">
        <v>311</v>
      </c>
      <c r="E27" s="206">
        <f>SUM(E2:E26)</f>
        <v>178.33650000000003</v>
      </c>
    </row>
  </sheetData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E39C-C06F-492A-A3E8-606B456BB641}">
  <dimension ref="A1:E33"/>
  <sheetViews>
    <sheetView workbookViewId="0">
      <selection activeCell="L16" sqref="L16"/>
    </sheetView>
  </sheetViews>
  <sheetFormatPr defaultRowHeight="15"/>
  <cols>
    <col min="1" max="1" width="41.85546875" customWidth="1"/>
    <col min="2" max="2" width="13.28515625" customWidth="1"/>
    <col min="3" max="3" width="19" customWidth="1"/>
    <col min="4" max="4" width="17.140625" customWidth="1"/>
    <col min="5" max="5" width="15.28515625" customWidth="1"/>
  </cols>
  <sheetData>
    <row r="1" spans="1:5">
      <c r="A1" s="207" t="s">
        <v>93</v>
      </c>
      <c r="B1" s="207" t="s">
        <v>94</v>
      </c>
      <c r="C1" s="207" t="s">
        <v>98</v>
      </c>
      <c r="D1" s="207" t="s">
        <v>637</v>
      </c>
      <c r="E1" s="207" t="s">
        <v>100</v>
      </c>
    </row>
    <row r="2" spans="1:5">
      <c r="A2" s="203" t="s">
        <v>621</v>
      </c>
      <c r="B2" s="203">
        <v>24</v>
      </c>
      <c r="C2" s="203" t="s">
        <v>684</v>
      </c>
      <c r="D2" s="204">
        <v>0.7</v>
      </c>
      <c r="E2" s="204">
        <f>IF(AND(B2&lt;&gt;"",D2&lt;&gt;""),B2*D2,"")</f>
        <v>16.799999999999997</v>
      </c>
    </row>
    <row r="3" spans="1:5">
      <c r="A3" s="203" t="s">
        <v>648</v>
      </c>
      <c r="B3" s="203">
        <v>24</v>
      </c>
      <c r="C3" s="203" t="s">
        <v>684</v>
      </c>
      <c r="D3" s="204">
        <v>0.81</v>
      </c>
      <c r="E3" s="204">
        <f>IF(AND(B3&lt;&gt;"",D3&lt;&gt;""),B3*D3,"")</f>
        <v>19.440000000000001</v>
      </c>
    </row>
    <row r="4" spans="1:5">
      <c r="A4" s="203" t="s">
        <v>609</v>
      </c>
      <c r="B4" s="203">
        <v>24</v>
      </c>
      <c r="C4" s="203" t="s">
        <v>684</v>
      </c>
      <c r="D4" s="204">
        <v>0.81</v>
      </c>
      <c r="E4" s="204">
        <f>IF(AND(B4&lt;&gt;"",D4&lt;&gt;""),B4*D4,"")</f>
        <v>19.440000000000001</v>
      </c>
    </row>
    <row r="5" spans="1:5">
      <c r="A5" s="203" t="s">
        <v>694</v>
      </c>
      <c r="B5" s="203">
        <v>24</v>
      </c>
      <c r="C5" s="203" t="s">
        <v>622</v>
      </c>
      <c r="D5" s="204">
        <v>0.81</v>
      </c>
      <c r="E5" s="204">
        <f>IF(AND(B5&lt;&gt;"",D5&lt;&gt;""),B5*D5,"")</f>
        <v>19.440000000000001</v>
      </c>
    </row>
    <row r="6" spans="1:5">
      <c r="A6" s="203" t="s">
        <v>695</v>
      </c>
      <c r="B6" s="203">
        <v>1</v>
      </c>
      <c r="C6" s="203" t="s">
        <v>151</v>
      </c>
      <c r="D6" s="204">
        <v>2.4</v>
      </c>
      <c r="E6" s="204">
        <f>IF(AND(B6&lt;&gt;"",D6&lt;&gt;""),B6*D6,"")</f>
        <v>2.4</v>
      </c>
    </row>
    <row r="7" spans="1:5">
      <c r="A7" s="203" t="s">
        <v>696</v>
      </c>
      <c r="B7" s="203">
        <v>3</v>
      </c>
      <c r="C7" s="203" t="s">
        <v>665</v>
      </c>
      <c r="D7" s="204">
        <v>2.86</v>
      </c>
      <c r="E7" s="204">
        <f>IF(AND(B7&lt;&gt;"",D7&lt;&gt;""),B7*D7,"")</f>
        <v>8.58</v>
      </c>
    </row>
    <row r="8" spans="1:5">
      <c r="A8" s="203" t="s">
        <v>697</v>
      </c>
      <c r="B8" s="203">
        <v>1</v>
      </c>
      <c r="C8" s="203" t="s">
        <v>698</v>
      </c>
      <c r="D8" s="204">
        <v>10.050000000000001</v>
      </c>
      <c r="E8" s="204">
        <f>IF(AND(B8&lt;&gt;"",D8&lt;&gt;""),B8*D8,"")</f>
        <v>10.050000000000001</v>
      </c>
    </row>
    <row r="9" spans="1:5">
      <c r="A9" s="203" t="s">
        <v>699</v>
      </c>
      <c r="B9" s="203">
        <v>1</v>
      </c>
      <c r="C9" s="203" t="s">
        <v>698</v>
      </c>
      <c r="D9" s="204">
        <v>10.050000000000001</v>
      </c>
      <c r="E9" s="204">
        <f>IF(AND(B9&lt;&gt;"",D9&lt;&gt;""),B9*D9,"")</f>
        <v>10.050000000000001</v>
      </c>
    </row>
    <row r="10" spans="1:5">
      <c r="A10" s="203" t="s">
        <v>700</v>
      </c>
      <c r="B10" s="203">
        <v>1</v>
      </c>
      <c r="C10" s="203" t="s">
        <v>698</v>
      </c>
      <c r="D10" s="204">
        <v>10.050000000000001</v>
      </c>
      <c r="E10" s="204">
        <f>IF(AND(B10&lt;&gt;"",D10&lt;&gt;""),B10*D10,"")</f>
        <v>10.050000000000001</v>
      </c>
    </row>
    <row r="11" spans="1:5">
      <c r="A11" s="203" t="s">
        <v>701</v>
      </c>
      <c r="B11" s="203">
        <v>1</v>
      </c>
      <c r="C11" s="203" t="s">
        <v>698</v>
      </c>
      <c r="D11" s="204">
        <v>8.2899999999999991</v>
      </c>
      <c r="E11" s="204">
        <f>IF(AND(B11&lt;&gt;"",D11&lt;&gt;""),B11*D11,"")</f>
        <v>8.2899999999999991</v>
      </c>
    </row>
    <row r="12" spans="1:5">
      <c r="A12" s="203" t="s">
        <v>492</v>
      </c>
      <c r="B12" s="203">
        <v>1</v>
      </c>
      <c r="C12" s="203" t="s">
        <v>7</v>
      </c>
      <c r="D12" s="204">
        <v>11.54</v>
      </c>
      <c r="E12" s="204">
        <f>IF(AND(B12&lt;&gt;"",D12&lt;&gt;""),B12*D12,"")</f>
        <v>11.54</v>
      </c>
    </row>
    <row r="13" spans="1:5">
      <c r="A13" s="203" t="s">
        <v>702</v>
      </c>
      <c r="B13" s="203">
        <v>2</v>
      </c>
      <c r="C13" s="203" t="s">
        <v>7</v>
      </c>
      <c r="D13" s="204">
        <v>10.220000000000001</v>
      </c>
      <c r="E13" s="204">
        <f>IF(AND(B13&lt;&gt;"",D13&lt;&gt;""),B13*D13,"")</f>
        <v>20.440000000000001</v>
      </c>
    </row>
    <row r="14" spans="1:5">
      <c r="A14" s="203" t="s">
        <v>703</v>
      </c>
      <c r="B14" s="203">
        <v>1</v>
      </c>
      <c r="C14" s="203" t="s">
        <v>7</v>
      </c>
      <c r="D14" s="204">
        <v>4.5839999999999996</v>
      </c>
      <c r="E14" s="204">
        <f>IF(AND(B14&lt;&gt;"",D14&lt;&gt;""),B14*D14,"")</f>
        <v>4.5839999999999996</v>
      </c>
    </row>
    <row r="15" spans="1:5">
      <c r="A15" s="203" t="s">
        <v>704</v>
      </c>
      <c r="B15" s="203">
        <v>1</v>
      </c>
      <c r="C15" s="203" t="s">
        <v>7</v>
      </c>
      <c r="D15" s="204">
        <v>10.657</v>
      </c>
      <c r="E15" s="204">
        <f>IF(AND(B15&lt;&gt;"",D15&lt;&gt;""),B15*D15,"")</f>
        <v>10.657</v>
      </c>
    </row>
    <row r="16" spans="1:5">
      <c r="A16" s="203" t="s">
        <v>705</v>
      </c>
      <c r="B16" s="203">
        <v>6</v>
      </c>
      <c r="C16" s="203" t="s">
        <v>706</v>
      </c>
      <c r="D16" s="204">
        <v>1.29</v>
      </c>
      <c r="E16" s="204">
        <f>IF(AND(B16&lt;&gt;"",D16&lt;&gt;""),B16*D16,"")</f>
        <v>7.74</v>
      </c>
    </row>
    <row r="17" spans="1:5">
      <c r="A17" s="203" t="s">
        <v>707</v>
      </c>
      <c r="B17" s="203">
        <v>1</v>
      </c>
      <c r="C17" s="203" t="s">
        <v>708</v>
      </c>
      <c r="D17" s="204">
        <v>6.49</v>
      </c>
      <c r="E17" s="204">
        <f>IF(AND(B17&lt;&gt;"",D17&lt;&gt;""),B17*D17,"")</f>
        <v>6.49</v>
      </c>
    </row>
    <row r="18" spans="1:5">
      <c r="A18" s="203" t="s">
        <v>709</v>
      </c>
      <c r="B18" s="203">
        <v>4</v>
      </c>
      <c r="C18" s="203" t="s">
        <v>151</v>
      </c>
      <c r="D18" s="204">
        <v>2.23</v>
      </c>
      <c r="E18" s="204">
        <f>IF(AND(B18&lt;&gt;"",D18&lt;&gt;""),B18*D18,"")</f>
        <v>8.92</v>
      </c>
    </row>
    <row r="19" spans="1:5">
      <c r="A19" s="203" t="s">
        <v>710</v>
      </c>
      <c r="B19" s="203">
        <v>1</v>
      </c>
      <c r="C19" s="203" t="s">
        <v>711</v>
      </c>
      <c r="D19" s="204">
        <v>8.94</v>
      </c>
      <c r="E19" s="204">
        <f>IF(AND(B19&lt;&gt;"",D19&lt;&gt;""),B19*D19,"")</f>
        <v>8.94</v>
      </c>
    </row>
    <row r="20" spans="1:5">
      <c r="A20" s="203" t="s">
        <v>392</v>
      </c>
      <c r="B20" s="203">
        <v>1</v>
      </c>
      <c r="C20" s="203" t="s">
        <v>698</v>
      </c>
      <c r="D20" s="204">
        <v>5.2610000000000001</v>
      </c>
      <c r="E20" s="204">
        <f>IF(AND(B20&lt;&gt;"",D20&lt;&gt;""),B20*D20,"")</f>
        <v>5.2610000000000001</v>
      </c>
    </row>
    <row r="21" spans="1:5">
      <c r="A21" s="203" t="s">
        <v>712</v>
      </c>
      <c r="B21" s="203">
        <v>2</v>
      </c>
      <c r="C21" s="203" t="s">
        <v>7</v>
      </c>
      <c r="D21" s="204">
        <v>5.1859999999999999</v>
      </c>
      <c r="E21" s="204">
        <f>IF(AND(B21&lt;&gt;"",D21&lt;&gt;""),B21*D21,"")</f>
        <v>10.372</v>
      </c>
    </row>
    <row r="22" spans="1:5">
      <c r="A22" s="203" t="s">
        <v>271</v>
      </c>
      <c r="B22" s="203">
        <v>3</v>
      </c>
      <c r="C22" s="203" t="s">
        <v>7</v>
      </c>
      <c r="D22" s="204">
        <v>1.6890000000000001</v>
      </c>
      <c r="E22" s="204">
        <f>IF(AND(B22&lt;&gt;"",D22&lt;&gt;""),B22*D22,"")</f>
        <v>5.0670000000000002</v>
      </c>
    </row>
    <row r="23" spans="1:5">
      <c r="A23" s="203" t="s">
        <v>639</v>
      </c>
      <c r="B23" s="203">
        <v>1</v>
      </c>
      <c r="C23" s="203" t="s">
        <v>7</v>
      </c>
      <c r="D23" s="204">
        <v>3.95</v>
      </c>
      <c r="E23" s="204">
        <f>IF(AND(B23&lt;&gt;"",D23&lt;&gt;""),B23*D23,"")</f>
        <v>3.95</v>
      </c>
    </row>
    <row r="24" spans="1:5">
      <c r="A24" s="203" t="s">
        <v>713</v>
      </c>
      <c r="B24" s="203">
        <v>1</v>
      </c>
      <c r="C24" s="203" t="s">
        <v>7</v>
      </c>
      <c r="D24" s="204">
        <v>4.3899999999999997</v>
      </c>
      <c r="E24" s="204">
        <f>IF(AND(B24&lt;&gt;"",D24&lt;&gt;""),B24*D24,"")</f>
        <v>4.3899999999999997</v>
      </c>
    </row>
    <row r="25" spans="1:5">
      <c r="A25" s="203" t="s">
        <v>449</v>
      </c>
      <c r="B25" s="203">
        <v>1</v>
      </c>
      <c r="C25" s="203" t="s">
        <v>7</v>
      </c>
      <c r="D25" s="204">
        <v>2.8079999999999998</v>
      </c>
      <c r="E25" s="204">
        <f>IF(AND(B25&lt;&gt;"",D25&lt;&gt;""),B25*D25,"")</f>
        <v>2.8079999999999998</v>
      </c>
    </row>
    <row r="26" spans="1:5">
      <c r="A26" s="203" t="s">
        <v>272</v>
      </c>
      <c r="B26" s="203">
        <v>4</v>
      </c>
      <c r="C26" s="203" t="s">
        <v>7</v>
      </c>
      <c r="D26" s="204">
        <v>1.645</v>
      </c>
      <c r="E26" s="204">
        <f>IF(AND(B26&lt;&gt;"",D26&lt;&gt;""),B26*D26,"")</f>
        <v>6.58</v>
      </c>
    </row>
    <row r="27" spans="1:5">
      <c r="A27" s="203" t="s">
        <v>409</v>
      </c>
      <c r="B27" s="203">
        <v>1</v>
      </c>
      <c r="C27" s="203" t="s">
        <v>7</v>
      </c>
      <c r="D27" s="204">
        <v>4.8140000000000001</v>
      </c>
      <c r="E27" s="204">
        <f>IF(AND(B27&lt;&gt;"",D27&lt;&gt;""),B27*D27,"")</f>
        <v>4.8140000000000001</v>
      </c>
    </row>
    <row r="28" spans="1:5">
      <c r="A28" s="203" t="s">
        <v>450</v>
      </c>
      <c r="B28" s="203">
        <v>2</v>
      </c>
      <c r="C28" s="203" t="s">
        <v>714</v>
      </c>
      <c r="D28" s="204">
        <v>1.869</v>
      </c>
      <c r="E28" s="204">
        <f>IF(AND(B28&lt;&gt;"",D28&lt;&gt;""),B28*D28,"")</f>
        <v>3.738</v>
      </c>
    </row>
    <row r="29" spans="1:5">
      <c r="A29" s="203" t="s">
        <v>107</v>
      </c>
      <c r="B29" s="203">
        <v>3</v>
      </c>
      <c r="C29" s="203" t="s">
        <v>665</v>
      </c>
      <c r="D29" s="204">
        <v>3.29</v>
      </c>
      <c r="E29" s="204">
        <f>IF(AND(B29&lt;&gt;"",D29&lt;&gt;""),B29*D29,"")</f>
        <v>9.870000000000001</v>
      </c>
    </row>
    <row r="30" spans="1:5">
      <c r="A30" s="203" t="s">
        <v>652</v>
      </c>
      <c r="B30" s="203">
        <v>10</v>
      </c>
      <c r="C30" s="203" t="s">
        <v>217</v>
      </c>
      <c r="D30" s="204">
        <v>0.28999999999999998</v>
      </c>
      <c r="E30" s="204">
        <f>IF(AND(B30&lt;&gt;"",D30&lt;&gt;""),B30*D30,"")</f>
        <v>2.9</v>
      </c>
    </row>
    <row r="31" spans="1:5">
      <c r="A31" s="203" t="s">
        <v>653</v>
      </c>
      <c r="B31" s="203">
        <v>20</v>
      </c>
      <c r="C31" s="203" t="s">
        <v>217</v>
      </c>
      <c r="D31" s="204">
        <v>0.67</v>
      </c>
      <c r="E31" s="204">
        <f>IF(AND(B31&lt;&gt;"",D31&lt;&gt;""),B31*D31,"")</f>
        <v>13.4</v>
      </c>
    </row>
    <row r="32" spans="1:5">
      <c r="A32" s="203" t="s">
        <v>273</v>
      </c>
      <c r="B32" s="203">
        <v>6</v>
      </c>
      <c r="C32" s="203" t="s">
        <v>151</v>
      </c>
      <c r="D32" s="204">
        <v>2.34</v>
      </c>
      <c r="E32" s="204">
        <f>IF(AND(B32&lt;&gt;"",D32&lt;&gt;""),B32*D32,"")</f>
        <v>14.04</v>
      </c>
    </row>
    <row r="33" spans="1:5">
      <c r="A33" s="203"/>
      <c r="B33" s="203"/>
      <c r="C33" s="203"/>
      <c r="D33" s="205" t="s">
        <v>311</v>
      </c>
      <c r="E33" s="206">
        <f>SUM(E2:E32)</f>
        <v>291.04099999999994</v>
      </c>
    </row>
  </sheetData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E6E5-EB7D-47E4-957E-F72FD538D4BE}">
  <dimension ref="A1:E29"/>
  <sheetViews>
    <sheetView workbookViewId="0">
      <selection activeCell="A8" sqref="A8"/>
    </sheetView>
  </sheetViews>
  <sheetFormatPr defaultRowHeight="15"/>
  <cols>
    <col min="1" max="1" width="41.85546875" customWidth="1"/>
    <col min="2" max="2" width="12.42578125" customWidth="1"/>
    <col min="3" max="3" width="19" customWidth="1"/>
    <col min="4" max="4" width="18.140625" customWidth="1"/>
    <col min="5" max="5" width="15.28515625" customWidth="1"/>
  </cols>
  <sheetData>
    <row r="1" spans="1:5">
      <c r="A1" s="207" t="s">
        <v>93</v>
      </c>
      <c r="B1" s="207" t="s">
        <v>94</v>
      </c>
      <c r="C1" s="207" t="s">
        <v>98</v>
      </c>
      <c r="D1" s="207" t="s">
        <v>637</v>
      </c>
      <c r="E1" s="207" t="s">
        <v>100</v>
      </c>
    </row>
    <row r="2" spans="1:5">
      <c r="A2" s="203" t="s">
        <v>648</v>
      </c>
      <c r="B2" s="203">
        <v>24</v>
      </c>
      <c r="C2" s="203" t="s">
        <v>684</v>
      </c>
      <c r="D2" s="204">
        <v>0.81</v>
      </c>
      <c r="E2" s="204">
        <f>IF(AND(B2&lt;&gt;"",D2&lt;&gt;""),B2*D2,"")</f>
        <v>19.440000000000001</v>
      </c>
    </row>
    <row r="3" spans="1:5">
      <c r="A3" s="203" t="s">
        <v>715</v>
      </c>
      <c r="B3" s="203">
        <v>24</v>
      </c>
      <c r="C3" s="203" t="s">
        <v>684</v>
      </c>
      <c r="D3" s="204">
        <v>0.77</v>
      </c>
      <c r="E3" s="204">
        <f>D3*B3</f>
        <v>18.48</v>
      </c>
    </row>
    <row r="4" spans="1:5">
      <c r="A4" s="203" t="s">
        <v>716</v>
      </c>
      <c r="B4" s="203">
        <v>1</v>
      </c>
      <c r="C4" s="203" t="s">
        <v>717</v>
      </c>
      <c r="D4" s="204">
        <v>10.050000000000001</v>
      </c>
      <c r="E4" s="204">
        <f t="shared" ref="E3:E28" si="0">IF(AND(B4&lt;&gt;"",D4&lt;&gt;""),B4*D4,"")</f>
        <v>10.050000000000001</v>
      </c>
    </row>
    <row r="5" spans="1:5">
      <c r="A5" s="203" t="s">
        <v>718</v>
      </c>
      <c r="B5" s="203">
        <v>1</v>
      </c>
      <c r="C5" s="203" t="s">
        <v>717</v>
      </c>
      <c r="D5" s="204">
        <v>10.050000000000001</v>
      </c>
      <c r="E5" s="204">
        <f t="shared" si="0"/>
        <v>10.050000000000001</v>
      </c>
    </row>
    <row r="6" spans="1:5">
      <c r="A6" s="203" t="s">
        <v>719</v>
      </c>
      <c r="B6" s="203">
        <v>1</v>
      </c>
      <c r="C6" s="203" t="s">
        <v>720</v>
      </c>
      <c r="D6" s="204">
        <v>10.050000000000001</v>
      </c>
      <c r="E6" s="204">
        <f t="shared" si="0"/>
        <v>10.050000000000001</v>
      </c>
    </row>
    <row r="7" spans="1:5">
      <c r="A7" s="203" t="s">
        <v>721</v>
      </c>
      <c r="B7" s="203">
        <v>1</v>
      </c>
      <c r="C7" s="203" t="s">
        <v>698</v>
      </c>
      <c r="D7" s="204">
        <v>8.2899999999999991</v>
      </c>
      <c r="E7" s="204">
        <f t="shared" si="0"/>
        <v>8.2899999999999991</v>
      </c>
    </row>
    <row r="8" spans="1:5">
      <c r="A8" s="203" t="s">
        <v>722</v>
      </c>
      <c r="B8" s="203">
        <v>1</v>
      </c>
      <c r="C8" s="203" t="s">
        <v>151</v>
      </c>
      <c r="D8" s="204">
        <v>17.36</v>
      </c>
      <c r="E8" s="204">
        <f t="shared" si="0"/>
        <v>17.36</v>
      </c>
    </row>
    <row r="9" spans="1:5">
      <c r="A9" s="203" t="s">
        <v>723</v>
      </c>
      <c r="B9" s="203">
        <v>20</v>
      </c>
      <c r="C9" s="203" t="s">
        <v>188</v>
      </c>
      <c r="D9" s="204">
        <v>1.1399999999999999</v>
      </c>
      <c r="E9" s="204">
        <f t="shared" si="0"/>
        <v>22.799999999999997</v>
      </c>
    </row>
    <row r="10" spans="1:5">
      <c r="A10" s="203" t="s">
        <v>724</v>
      </c>
      <c r="B10" s="203">
        <v>12</v>
      </c>
      <c r="C10" s="203" t="s">
        <v>188</v>
      </c>
      <c r="D10" s="204">
        <v>1.06</v>
      </c>
      <c r="E10" s="204">
        <f t="shared" si="0"/>
        <v>12.72</v>
      </c>
    </row>
    <row r="11" spans="1:5">
      <c r="A11" s="203" t="s">
        <v>725</v>
      </c>
      <c r="B11" s="203">
        <v>3</v>
      </c>
      <c r="C11" s="203" t="s">
        <v>726</v>
      </c>
      <c r="D11" s="204">
        <v>2.69</v>
      </c>
      <c r="E11" s="204">
        <f>D11*B11</f>
        <v>8.07</v>
      </c>
    </row>
    <row r="12" spans="1:5">
      <c r="A12" s="203" t="s">
        <v>727</v>
      </c>
      <c r="B12" s="203">
        <v>1</v>
      </c>
      <c r="C12" s="203" t="s">
        <v>728</v>
      </c>
      <c r="D12" s="204">
        <v>4.5</v>
      </c>
      <c r="E12" s="204">
        <f t="shared" si="0"/>
        <v>4.5</v>
      </c>
    </row>
    <row r="13" spans="1:5">
      <c r="A13" s="203" t="s">
        <v>729</v>
      </c>
      <c r="B13" s="203">
        <v>1</v>
      </c>
      <c r="C13" s="203" t="s">
        <v>730</v>
      </c>
      <c r="D13" s="204">
        <v>3.6875</v>
      </c>
      <c r="E13" s="204">
        <f t="shared" si="0"/>
        <v>3.6875</v>
      </c>
    </row>
    <row r="14" spans="1:5">
      <c r="A14" s="203" t="s">
        <v>659</v>
      </c>
      <c r="B14" s="203">
        <v>6</v>
      </c>
      <c r="C14" s="203" t="s">
        <v>731</v>
      </c>
      <c r="D14" s="204">
        <v>3.89</v>
      </c>
      <c r="E14" s="204">
        <f t="shared" si="0"/>
        <v>23.34</v>
      </c>
    </row>
    <row r="15" spans="1:5">
      <c r="A15" s="203" t="s">
        <v>486</v>
      </c>
      <c r="B15" s="203">
        <v>1</v>
      </c>
      <c r="C15" s="203" t="s">
        <v>732</v>
      </c>
      <c r="D15" s="204">
        <v>6.75</v>
      </c>
      <c r="E15" s="204">
        <f t="shared" si="0"/>
        <v>6.75</v>
      </c>
    </row>
    <row r="16" spans="1:5">
      <c r="A16" s="203" t="s">
        <v>392</v>
      </c>
      <c r="B16" s="203">
        <v>1</v>
      </c>
      <c r="C16" s="203" t="s">
        <v>698</v>
      </c>
      <c r="D16" s="204">
        <v>5.2610000000000001</v>
      </c>
      <c r="E16" s="204">
        <f t="shared" si="0"/>
        <v>5.2610000000000001</v>
      </c>
    </row>
    <row r="17" spans="1:5">
      <c r="A17" s="203" t="s">
        <v>712</v>
      </c>
      <c r="B17" s="203">
        <v>2</v>
      </c>
      <c r="C17" s="203" t="s">
        <v>7</v>
      </c>
      <c r="D17" s="204">
        <v>5.1859999999999999</v>
      </c>
      <c r="E17" s="204">
        <f t="shared" si="0"/>
        <v>10.372</v>
      </c>
    </row>
    <row r="18" spans="1:5">
      <c r="A18" s="203" t="s">
        <v>271</v>
      </c>
      <c r="B18" s="203">
        <v>3</v>
      </c>
      <c r="C18" s="203" t="s">
        <v>7</v>
      </c>
      <c r="D18" s="204">
        <v>1.6890000000000001</v>
      </c>
      <c r="E18" s="204">
        <f t="shared" si="0"/>
        <v>5.0670000000000002</v>
      </c>
    </row>
    <row r="19" spans="1:5">
      <c r="A19" s="203" t="s">
        <v>639</v>
      </c>
      <c r="B19" s="203">
        <v>1</v>
      </c>
      <c r="C19" s="203" t="s">
        <v>7</v>
      </c>
      <c r="D19" s="204">
        <v>3.95</v>
      </c>
      <c r="E19" s="204">
        <f t="shared" si="0"/>
        <v>3.95</v>
      </c>
    </row>
    <row r="20" spans="1:5">
      <c r="A20" s="203" t="s">
        <v>713</v>
      </c>
      <c r="B20" s="203">
        <v>1</v>
      </c>
      <c r="C20" s="203" t="s">
        <v>7</v>
      </c>
      <c r="D20" s="204">
        <v>4.3899999999999997</v>
      </c>
      <c r="E20" s="204">
        <f t="shared" si="0"/>
        <v>4.3899999999999997</v>
      </c>
    </row>
    <row r="21" spans="1:5">
      <c r="A21" s="203" t="s">
        <v>449</v>
      </c>
      <c r="B21" s="203">
        <v>1</v>
      </c>
      <c r="C21" s="203" t="s">
        <v>7</v>
      </c>
      <c r="D21" s="204">
        <v>2.8079999999999998</v>
      </c>
      <c r="E21" s="204">
        <f t="shared" si="0"/>
        <v>2.8079999999999998</v>
      </c>
    </row>
    <row r="22" spans="1:5">
      <c r="A22" s="203" t="s">
        <v>272</v>
      </c>
      <c r="B22" s="203">
        <v>4</v>
      </c>
      <c r="C22" s="203" t="s">
        <v>7</v>
      </c>
      <c r="D22" s="204">
        <v>1.645</v>
      </c>
      <c r="E22" s="204">
        <f t="shared" si="0"/>
        <v>6.58</v>
      </c>
    </row>
    <row r="23" spans="1:5">
      <c r="A23" s="203" t="s">
        <v>409</v>
      </c>
      <c r="B23" s="203">
        <v>1</v>
      </c>
      <c r="C23" s="203" t="s">
        <v>7</v>
      </c>
      <c r="D23" s="204">
        <v>4.8140000000000001</v>
      </c>
      <c r="E23" s="204">
        <f t="shared" si="0"/>
        <v>4.8140000000000001</v>
      </c>
    </row>
    <row r="24" spans="1:5">
      <c r="A24" s="203" t="s">
        <v>450</v>
      </c>
      <c r="B24" s="203">
        <v>2</v>
      </c>
      <c r="C24" s="203" t="s">
        <v>714</v>
      </c>
      <c r="D24" s="204">
        <v>1.869</v>
      </c>
      <c r="E24" s="204">
        <f t="shared" si="0"/>
        <v>3.738</v>
      </c>
    </row>
    <row r="25" spans="1:5">
      <c r="A25" s="203" t="s">
        <v>107</v>
      </c>
      <c r="B25" s="203">
        <v>3</v>
      </c>
      <c r="C25" s="203" t="s">
        <v>665</v>
      </c>
      <c r="D25" s="204">
        <v>3.29</v>
      </c>
      <c r="E25" s="204">
        <f t="shared" si="0"/>
        <v>9.870000000000001</v>
      </c>
    </row>
    <row r="26" spans="1:5">
      <c r="A26" s="203" t="s">
        <v>652</v>
      </c>
      <c r="B26" s="203">
        <v>10</v>
      </c>
      <c r="C26" s="203" t="s">
        <v>217</v>
      </c>
      <c r="D26" s="204">
        <v>0.28999999999999998</v>
      </c>
      <c r="E26" s="204">
        <f t="shared" si="0"/>
        <v>2.9</v>
      </c>
    </row>
    <row r="27" spans="1:5">
      <c r="A27" s="203" t="s">
        <v>653</v>
      </c>
      <c r="B27" s="203">
        <v>20</v>
      </c>
      <c r="C27" s="203" t="s">
        <v>217</v>
      </c>
      <c r="D27" s="204">
        <v>0.67</v>
      </c>
      <c r="E27" s="204">
        <f t="shared" si="0"/>
        <v>13.4</v>
      </c>
    </row>
    <row r="28" spans="1:5">
      <c r="A28" s="203" t="s">
        <v>273</v>
      </c>
      <c r="B28" s="203">
        <v>6</v>
      </c>
      <c r="C28" s="203" t="s">
        <v>151</v>
      </c>
      <c r="D28" s="204">
        <v>2.34</v>
      </c>
      <c r="E28" s="204">
        <f t="shared" si="0"/>
        <v>14.04</v>
      </c>
    </row>
    <row r="29" spans="1:5">
      <c r="A29" s="203"/>
      <c r="B29" s="203"/>
      <c r="C29" s="203"/>
      <c r="D29" s="205" t="s">
        <v>311</v>
      </c>
      <c r="E29" s="206">
        <f>SUM(E2:E28)</f>
        <v>262.77749999999997</v>
      </c>
    </row>
  </sheetData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C935-4247-4681-9FCA-ECEBE43EFD40}">
  <dimension ref="A1:E15"/>
  <sheetViews>
    <sheetView workbookViewId="0">
      <selection activeCell="A10" sqref="A10:C14"/>
    </sheetView>
  </sheetViews>
  <sheetFormatPr defaultRowHeight="15"/>
  <cols>
    <col min="1" max="1" width="41.85546875" customWidth="1"/>
    <col min="2" max="2" width="12.42578125" customWidth="1"/>
    <col min="3" max="3" width="19" customWidth="1"/>
    <col min="4" max="4" width="18.140625" customWidth="1"/>
    <col min="5" max="5" width="15.28515625" customWidth="1"/>
  </cols>
  <sheetData>
    <row r="1" spans="1:5">
      <c r="A1" s="207" t="s">
        <v>93</v>
      </c>
      <c r="B1" s="207" t="s">
        <v>94</v>
      </c>
      <c r="C1" s="207" t="s">
        <v>98</v>
      </c>
      <c r="D1" s="207" t="s">
        <v>637</v>
      </c>
      <c r="E1" s="207" t="s">
        <v>100</v>
      </c>
    </row>
    <row r="2" spans="1:5">
      <c r="A2" s="203" t="s">
        <v>670</v>
      </c>
      <c r="B2" s="203">
        <v>3</v>
      </c>
      <c r="C2" s="203" t="s">
        <v>686</v>
      </c>
      <c r="D2" s="204">
        <v>1.59</v>
      </c>
      <c r="E2" s="204">
        <f>IF(AND(B2&lt;&gt;"",D2&lt;&gt;""),B2*D2,"")</f>
        <v>4.7700000000000005</v>
      </c>
    </row>
    <row r="3" spans="1:5">
      <c r="A3" s="203" t="s">
        <v>733</v>
      </c>
      <c r="B3" s="203">
        <v>72</v>
      </c>
      <c r="C3" s="203" t="s">
        <v>147</v>
      </c>
      <c r="D3" s="204">
        <v>1.79</v>
      </c>
      <c r="E3" s="204">
        <f t="shared" ref="E3:E14" si="0">IF(AND(B3&lt;&gt;"",D3&lt;&gt;""),B3*D3,"")</f>
        <v>128.88</v>
      </c>
    </row>
    <row r="4" spans="1:5">
      <c r="A4" s="203" t="s">
        <v>404</v>
      </c>
      <c r="B4" s="203">
        <v>6</v>
      </c>
      <c r="C4" s="203" t="s">
        <v>147</v>
      </c>
      <c r="D4" s="204">
        <v>1.63</v>
      </c>
      <c r="E4" s="204">
        <f t="shared" si="0"/>
        <v>9.7799999999999994</v>
      </c>
    </row>
    <row r="5" spans="1:5">
      <c r="A5" s="203" t="s">
        <v>607</v>
      </c>
      <c r="B5" s="203">
        <v>6</v>
      </c>
      <c r="C5" s="203" t="s">
        <v>147</v>
      </c>
      <c r="D5" s="204">
        <v>2.4500000000000002</v>
      </c>
      <c r="E5" s="204">
        <f t="shared" si="0"/>
        <v>14.700000000000001</v>
      </c>
    </row>
    <row r="6" spans="1:5">
      <c r="A6" s="203" t="s">
        <v>272</v>
      </c>
      <c r="B6" s="203">
        <v>5</v>
      </c>
      <c r="C6" s="203" t="s">
        <v>7</v>
      </c>
      <c r="D6" s="204">
        <v>1.6415999999999999</v>
      </c>
      <c r="E6" s="204">
        <f t="shared" si="0"/>
        <v>8.2080000000000002</v>
      </c>
    </row>
    <row r="7" spans="1:5">
      <c r="A7" s="203" t="s">
        <v>107</v>
      </c>
      <c r="B7" s="203">
        <v>1</v>
      </c>
      <c r="C7" s="203" t="s">
        <v>7</v>
      </c>
      <c r="D7" s="204">
        <v>6.58</v>
      </c>
      <c r="E7" s="204">
        <f t="shared" si="0"/>
        <v>6.58</v>
      </c>
    </row>
    <row r="8" spans="1:5">
      <c r="A8" s="203" t="s">
        <v>734</v>
      </c>
      <c r="B8" s="203">
        <v>2</v>
      </c>
      <c r="C8" s="203" t="s">
        <v>730</v>
      </c>
      <c r="D8" s="204">
        <v>3.41</v>
      </c>
      <c r="E8" s="204">
        <f t="shared" si="0"/>
        <v>6.82</v>
      </c>
    </row>
    <row r="9" spans="1:5">
      <c r="A9" s="203" t="s">
        <v>352</v>
      </c>
      <c r="B9" s="203">
        <v>1</v>
      </c>
      <c r="C9" s="203" t="s">
        <v>7</v>
      </c>
      <c r="D9" s="204">
        <v>10.220000000000001</v>
      </c>
      <c r="E9" s="204">
        <f t="shared" si="0"/>
        <v>10.220000000000001</v>
      </c>
    </row>
    <row r="10" spans="1:5">
      <c r="A10" s="203" t="s">
        <v>735</v>
      </c>
      <c r="B10" s="203">
        <v>10</v>
      </c>
      <c r="C10" s="203" t="s">
        <v>188</v>
      </c>
      <c r="D10" s="204">
        <v>1.1242000000000001</v>
      </c>
      <c r="E10" s="204">
        <f t="shared" si="0"/>
        <v>11.242000000000001</v>
      </c>
    </row>
    <row r="11" spans="1:5">
      <c r="A11" s="203" t="s">
        <v>219</v>
      </c>
      <c r="B11" s="203">
        <v>10</v>
      </c>
      <c r="C11" s="203" t="s">
        <v>188</v>
      </c>
      <c r="D11" s="204">
        <v>0.28999999999999998</v>
      </c>
      <c r="E11" s="204">
        <f t="shared" si="0"/>
        <v>2.9</v>
      </c>
    </row>
    <row r="12" spans="1:5">
      <c r="A12" s="203" t="s">
        <v>273</v>
      </c>
      <c r="B12" s="203">
        <v>2</v>
      </c>
      <c r="C12" s="203" t="s">
        <v>151</v>
      </c>
      <c r="D12" s="204">
        <v>2.34</v>
      </c>
      <c r="E12" s="204">
        <f t="shared" si="0"/>
        <v>4.68</v>
      </c>
    </row>
    <row r="13" spans="1:5">
      <c r="A13" s="203" t="s">
        <v>736</v>
      </c>
      <c r="B13" s="203">
        <v>10</v>
      </c>
      <c r="C13" s="203" t="s">
        <v>188</v>
      </c>
      <c r="D13" s="204">
        <v>0.67</v>
      </c>
      <c r="E13" s="204">
        <f t="shared" si="0"/>
        <v>6.7</v>
      </c>
    </row>
    <row r="14" spans="1:5">
      <c r="A14" s="203" t="s">
        <v>737</v>
      </c>
      <c r="B14" s="203">
        <v>15</v>
      </c>
      <c r="C14" s="203" t="s">
        <v>188</v>
      </c>
      <c r="D14" s="204">
        <v>0.48149999999999998</v>
      </c>
      <c r="E14" s="204">
        <f t="shared" si="0"/>
        <v>7.2225000000000001</v>
      </c>
    </row>
    <row r="15" spans="1:5">
      <c r="A15" s="203"/>
      <c r="B15" s="203"/>
      <c r="C15" s="203"/>
      <c r="D15" s="205" t="s">
        <v>311</v>
      </c>
      <c r="E15" s="206">
        <f>SUM(E2:E14)</f>
        <v>222.70249999999999</v>
      </c>
    </row>
  </sheetData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A644-D5AB-4692-8E08-CCD397C5D9DC}">
  <dimension ref="A1:I180"/>
  <sheetViews>
    <sheetView topLeftCell="A168" workbookViewId="0"/>
  </sheetViews>
  <sheetFormatPr defaultRowHeight="15"/>
  <sheetData>
    <row r="1" spans="1:9">
      <c r="A1" s="208" t="s">
        <v>276</v>
      </c>
      <c r="B1" s="209" t="s">
        <v>444</v>
      </c>
      <c r="C1" s="209" t="s">
        <v>94</v>
      </c>
      <c r="D1" s="209" t="s">
        <v>738</v>
      </c>
      <c r="E1" s="209" t="s">
        <v>100</v>
      </c>
      <c r="F1" s="209" t="s">
        <v>739</v>
      </c>
      <c r="G1" s="210"/>
      <c r="H1" s="211" t="s">
        <v>740</v>
      </c>
      <c r="I1" s="212">
        <v>1.3</v>
      </c>
    </row>
    <row r="2" spans="1:9">
      <c r="A2" s="213">
        <v>4.05</v>
      </c>
      <c r="B2" s="214" t="s">
        <v>371</v>
      </c>
      <c r="C2" s="214">
        <v>2</v>
      </c>
      <c r="D2" s="214">
        <v>2.19</v>
      </c>
      <c r="E2" s="214">
        <v>4.38</v>
      </c>
      <c r="F2" s="214">
        <v>5.69</v>
      </c>
      <c r="G2" s="210"/>
      <c r="H2" s="211" t="s">
        <v>741</v>
      </c>
      <c r="I2" s="215">
        <v>49</v>
      </c>
    </row>
    <row r="3" spans="1:9">
      <c r="A3" s="213">
        <v>4.05</v>
      </c>
      <c r="B3" s="214" t="s">
        <v>639</v>
      </c>
      <c r="C3" s="214">
        <v>1</v>
      </c>
      <c r="D3" s="214">
        <v>2.99</v>
      </c>
      <c r="E3" s="214">
        <v>2.99</v>
      </c>
      <c r="F3" s="214">
        <v>3.89</v>
      </c>
      <c r="G3" s="210"/>
      <c r="H3" s="211" t="s">
        <v>742</v>
      </c>
      <c r="I3" s="215">
        <v>2.9</v>
      </c>
    </row>
    <row r="4" spans="1:9">
      <c r="A4" s="213">
        <v>4.05</v>
      </c>
      <c r="B4" s="214" t="s">
        <v>272</v>
      </c>
      <c r="C4" s="214">
        <v>5</v>
      </c>
      <c r="D4" s="214">
        <v>1.64</v>
      </c>
      <c r="E4" s="214">
        <v>8.1999999999999993</v>
      </c>
      <c r="F4" s="214">
        <v>10.66</v>
      </c>
      <c r="G4" s="210"/>
      <c r="H4" s="211" t="s">
        <v>743</v>
      </c>
      <c r="I4" s="215">
        <v>2.9</v>
      </c>
    </row>
    <row r="5" spans="1:9">
      <c r="A5" s="213">
        <v>4.05</v>
      </c>
      <c r="B5" s="214" t="s">
        <v>436</v>
      </c>
      <c r="C5" s="214">
        <v>12</v>
      </c>
      <c r="D5" s="214">
        <v>1.79</v>
      </c>
      <c r="E5" s="214">
        <v>21.48</v>
      </c>
      <c r="F5" s="214">
        <v>27.92</v>
      </c>
      <c r="G5" s="210"/>
      <c r="H5" s="210"/>
      <c r="I5" s="210"/>
    </row>
    <row r="6" spans="1:9">
      <c r="A6" s="213">
        <v>4.05</v>
      </c>
      <c r="B6" s="214" t="s">
        <v>273</v>
      </c>
      <c r="C6" s="214">
        <v>4</v>
      </c>
      <c r="D6" s="214">
        <v>2.34</v>
      </c>
      <c r="E6" s="214">
        <v>9.36</v>
      </c>
      <c r="F6" s="214">
        <v>12.17</v>
      </c>
      <c r="G6" s="210"/>
      <c r="H6" s="210"/>
      <c r="I6" s="210"/>
    </row>
    <row r="7" spans="1:9">
      <c r="A7" s="216">
        <v>4.05</v>
      </c>
      <c r="B7" s="217" t="s">
        <v>652</v>
      </c>
      <c r="C7" s="217">
        <v>10</v>
      </c>
      <c r="D7" s="217">
        <v>0.28999999999999998</v>
      </c>
      <c r="E7" s="217">
        <v>2.9</v>
      </c>
      <c r="F7" s="217">
        <v>29</v>
      </c>
      <c r="G7" s="210"/>
      <c r="H7" s="210"/>
      <c r="I7" s="210"/>
    </row>
    <row r="8" spans="1:9">
      <c r="A8" s="213">
        <v>4.05</v>
      </c>
      <c r="B8" s="214" t="s">
        <v>641</v>
      </c>
      <c r="C8" s="214">
        <v>1</v>
      </c>
      <c r="D8" s="214">
        <v>2.4900000000000002</v>
      </c>
      <c r="E8" s="214">
        <v>2.4900000000000002</v>
      </c>
      <c r="F8" s="214">
        <v>3.24</v>
      </c>
      <c r="G8" s="210"/>
      <c r="H8" s="210"/>
      <c r="I8" s="210"/>
    </row>
    <row r="9" spans="1:9">
      <c r="A9" s="213">
        <v>4.05</v>
      </c>
      <c r="B9" s="214" t="s">
        <v>646</v>
      </c>
      <c r="C9" s="214">
        <v>3</v>
      </c>
      <c r="D9" s="214">
        <v>7.74</v>
      </c>
      <c r="E9" s="214">
        <v>23.22</v>
      </c>
      <c r="F9" s="214">
        <v>30.19</v>
      </c>
      <c r="G9" s="210"/>
      <c r="H9" s="210"/>
      <c r="I9" s="210"/>
    </row>
    <row r="10" spans="1:9">
      <c r="A10" s="213">
        <v>4.05</v>
      </c>
      <c r="B10" s="214" t="s">
        <v>648</v>
      </c>
      <c r="C10" s="214">
        <v>8</v>
      </c>
      <c r="D10" s="214">
        <v>0.87</v>
      </c>
      <c r="E10" s="214">
        <v>6.96</v>
      </c>
      <c r="F10" s="214">
        <v>9.0500000000000007</v>
      </c>
      <c r="G10" s="210"/>
      <c r="H10" s="210"/>
      <c r="I10" s="210"/>
    </row>
    <row r="11" spans="1:9">
      <c r="A11" s="213">
        <v>4.05</v>
      </c>
      <c r="B11" s="214" t="s">
        <v>671</v>
      </c>
      <c r="C11" s="214">
        <v>8</v>
      </c>
      <c r="D11" s="214">
        <v>0.87</v>
      </c>
      <c r="E11" s="214">
        <v>6.96</v>
      </c>
      <c r="F11" s="214">
        <v>9.0500000000000007</v>
      </c>
      <c r="G11" s="210"/>
      <c r="H11" s="210"/>
      <c r="I11" s="210"/>
    </row>
    <row r="12" spans="1:9">
      <c r="A12" s="216">
        <v>4.05</v>
      </c>
      <c r="B12" s="217" t="s">
        <v>653</v>
      </c>
      <c r="C12" s="217">
        <v>20</v>
      </c>
      <c r="D12" s="217">
        <v>0.67</v>
      </c>
      <c r="E12" s="217">
        <v>13.4</v>
      </c>
      <c r="F12" s="217">
        <v>58</v>
      </c>
      <c r="G12" s="210"/>
      <c r="H12" s="210"/>
      <c r="I12" s="210"/>
    </row>
    <row r="13" spans="1:9">
      <c r="A13" s="213">
        <v>4.05</v>
      </c>
      <c r="B13" s="214" t="s">
        <v>645</v>
      </c>
      <c r="C13" s="214">
        <v>0.5</v>
      </c>
      <c r="D13" s="214">
        <v>2.64</v>
      </c>
      <c r="E13" s="214">
        <v>1.32</v>
      </c>
      <c r="F13" s="214">
        <v>1.72</v>
      </c>
      <c r="G13" s="210"/>
      <c r="H13" s="210"/>
      <c r="I13" s="210"/>
    </row>
    <row r="14" spans="1:9">
      <c r="A14" s="213">
        <v>4.05</v>
      </c>
      <c r="B14" s="214" t="s">
        <v>621</v>
      </c>
      <c r="C14" s="214">
        <v>8</v>
      </c>
      <c r="D14" s="214">
        <v>0.87</v>
      </c>
      <c r="E14" s="214">
        <v>6.96</v>
      </c>
      <c r="F14" s="214">
        <v>9.0500000000000007</v>
      </c>
      <c r="G14" s="210"/>
      <c r="H14" s="210"/>
      <c r="I14" s="210"/>
    </row>
    <row r="15" spans="1:9">
      <c r="A15" s="213">
        <v>4.05</v>
      </c>
      <c r="B15" s="214" t="s">
        <v>650</v>
      </c>
      <c r="C15" s="214">
        <v>2</v>
      </c>
      <c r="D15" s="214">
        <v>6.4</v>
      </c>
      <c r="E15" s="214">
        <v>12.8</v>
      </c>
      <c r="F15" s="214">
        <v>16.64</v>
      </c>
      <c r="G15" s="210"/>
      <c r="H15" s="210"/>
      <c r="I15" s="210"/>
    </row>
    <row r="16" spans="1:9">
      <c r="A16" s="213">
        <v>4.05</v>
      </c>
      <c r="B16" s="214" t="s">
        <v>450</v>
      </c>
      <c r="C16" s="214">
        <v>2</v>
      </c>
      <c r="D16" s="214">
        <v>1.86</v>
      </c>
      <c r="E16" s="214">
        <v>3.72</v>
      </c>
      <c r="F16" s="214">
        <v>4.84</v>
      </c>
      <c r="G16" s="210"/>
      <c r="H16" s="210"/>
      <c r="I16" s="210"/>
    </row>
    <row r="17" spans="1:9">
      <c r="A17" s="213">
        <v>4.05</v>
      </c>
      <c r="B17" s="214" t="s">
        <v>279</v>
      </c>
      <c r="C17" s="214">
        <v>2</v>
      </c>
      <c r="D17" s="214">
        <v>2.52</v>
      </c>
      <c r="E17" s="214">
        <v>5.04</v>
      </c>
      <c r="F17" s="214">
        <v>6.55</v>
      </c>
      <c r="G17" s="210"/>
      <c r="H17" s="210"/>
      <c r="I17" s="210"/>
    </row>
    <row r="18" spans="1:9">
      <c r="A18" s="213">
        <v>4.05</v>
      </c>
      <c r="B18" s="214" t="s">
        <v>405</v>
      </c>
      <c r="C18" s="214">
        <v>1</v>
      </c>
      <c r="D18" s="214">
        <v>3.29</v>
      </c>
      <c r="E18" s="214">
        <v>3.29</v>
      </c>
      <c r="F18" s="214">
        <v>4.28</v>
      </c>
      <c r="G18" s="210"/>
      <c r="H18" s="210"/>
      <c r="I18" s="210"/>
    </row>
    <row r="19" spans="1:9">
      <c r="A19" s="213">
        <v>4.05</v>
      </c>
      <c r="B19" s="214" t="s">
        <v>392</v>
      </c>
      <c r="C19" s="214">
        <v>1</v>
      </c>
      <c r="D19" s="214">
        <v>5.05</v>
      </c>
      <c r="E19" s="214">
        <v>5.05</v>
      </c>
      <c r="F19" s="214">
        <v>6.57</v>
      </c>
      <c r="G19" s="210"/>
      <c r="H19" s="210"/>
      <c r="I19" s="210"/>
    </row>
    <row r="20" spans="1:9">
      <c r="A20" s="213">
        <v>4.05</v>
      </c>
      <c r="B20" s="214" t="s">
        <v>271</v>
      </c>
      <c r="C20" s="214">
        <v>1</v>
      </c>
      <c r="D20" s="214">
        <v>8.7899999999999991</v>
      </c>
      <c r="E20" s="214">
        <v>8.7899999999999991</v>
      </c>
      <c r="F20" s="214">
        <v>11.43</v>
      </c>
      <c r="G20" s="210"/>
      <c r="H20" s="210"/>
      <c r="I20" s="210"/>
    </row>
    <row r="21" spans="1:9">
      <c r="A21" s="213">
        <v>4.05</v>
      </c>
      <c r="B21" s="214" t="s">
        <v>643</v>
      </c>
      <c r="C21" s="214">
        <v>1</v>
      </c>
      <c r="D21" s="214">
        <v>3.16</v>
      </c>
      <c r="E21" s="214">
        <v>3.16</v>
      </c>
      <c r="F21" s="214">
        <v>4.1100000000000003</v>
      </c>
      <c r="G21" s="210"/>
      <c r="H21" s="210"/>
      <c r="I21" s="210"/>
    </row>
    <row r="22" spans="1:9">
      <c r="A22" s="213">
        <v>4.05</v>
      </c>
      <c r="B22" s="214" t="s">
        <v>638</v>
      </c>
      <c r="C22" s="214">
        <v>1</v>
      </c>
      <c r="D22" s="214">
        <v>2.59</v>
      </c>
      <c r="E22" s="214">
        <v>2.59</v>
      </c>
      <c r="F22" s="214">
        <v>3.37</v>
      </c>
      <c r="G22" s="210"/>
      <c r="H22" s="210"/>
      <c r="I22" s="210"/>
    </row>
    <row r="23" spans="1:9">
      <c r="A23" s="213">
        <v>4.05</v>
      </c>
      <c r="B23" s="214" t="s">
        <v>449</v>
      </c>
      <c r="C23" s="214">
        <v>1</v>
      </c>
      <c r="D23" s="214">
        <v>2.04</v>
      </c>
      <c r="E23" s="214">
        <v>2.04</v>
      </c>
      <c r="F23" s="214">
        <v>2.65</v>
      </c>
      <c r="G23" s="210"/>
      <c r="H23" s="210"/>
      <c r="I23" s="210"/>
    </row>
    <row r="24" spans="1:9">
      <c r="A24" s="213">
        <v>4.05</v>
      </c>
      <c r="B24" s="214" t="s">
        <v>409</v>
      </c>
      <c r="C24" s="214">
        <v>0.5</v>
      </c>
      <c r="D24" s="214">
        <v>2.19</v>
      </c>
      <c r="E24" s="214">
        <v>1.1000000000000001</v>
      </c>
      <c r="F24" s="214">
        <v>1.42</v>
      </c>
      <c r="G24" s="210"/>
      <c r="H24" s="210"/>
      <c r="I24" s="210"/>
    </row>
    <row r="25" spans="1:9">
      <c r="A25" s="213">
        <v>6.05</v>
      </c>
      <c r="B25" s="214" t="s">
        <v>371</v>
      </c>
      <c r="C25" s="214">
        <v>3</v>
      </c>
      <c r="D25" s="214">
        <v>2.99</v>
      </c>
      <c r="E25" s="214">
        <v>8.9700000000000006</v>
      </c>
      <c r="F25" s="214">
        <v>11.66</v>
      </c>
      <c r="G25" s="210"/>
      <c r="H25" s="210"/>
      <c r="I25" s="210"/>
    </row>
    <row r="26" spans="1:9">
      <c r="A26" s="213">
        <v>6.05</v>
      </c>
      <c r="B26" s="214" t="s">
        <v>639</v>
      </c>
      <c r="C26" s="214">
        <v>4</v>
      </c>
      <c r="D26" s="214">
        <v>2.99</v>
      </c>
      <c r="E26" s="214">
        <v>11.96</v>
      </c>
      <c r="F26" s="214">
        <v>15.55</v>
      </c>
      <c r="G26" s="210"/>
      <c r="H26" s="210"/>
      <c r="I26" s="210"/>
    </row>
    <row r="27" spans="1:9">
      <c r="A27" s="213">
        <v>6.05</v>
      </c>
      <c r="B27" s="214" t="s">
        <v>272</v>
      </c>
      <c r="C27" s="214">
        <v>2</v>
      </c>
      <c r="D27" s="214">
        <v>1.79</v>
      </c>
      <c r="E27" s="214">
        <v>3.58</v>
      </c>
      <c r="F27" s="214">
        <v>4.6500000000000004</v>
      </c>
      <c r="G27" s="210"/>
      <c r="H27" s="210"/>
      <c r="I27" s="210"/>
    </row>
    <row r="28" spans="1:9">
      <c r="A28" s="213">
        <v>6.05</v>
      </c>
      <c r="B28" s="214" t="s">
        <v>436</v>
      </c>
      <c r="C28" s="214">
        <v>24</v>
      </c>
      <c r="D28" s="214">
        <v>1.79</v>
      </c>
      <c r="E28" s="214">
        <v>42.96</v>
      </c>
      <c r="F28" s="214">
        <v>55.85</v>
      </c>
      <c r="G28" s="210"/>
      <c r="H28" s="210"/>
      <c r="I28" s="210"/>
    </row>
    <row r="29" spans="1:9">
      <c r="A29" s="213">
        <v>6.05</v>
      </c>
      <c r="B29" s="214" t="s">
        <v>273</v>
      </c>
      <c r="C29" s="214">
        <v>6</v>
      </c>
      <c r="D29" s="214">
        <v>2.34</v>
      </c>
      <c r="E29" s="214">
        <v>14.04</v>
      </c>
      <c r="F29" s="214">
        <v>18.25</v>
      </c>
      <c r="G29" s="210"/>
      <c r="H29" s="210"/>
      <c r="I29" s="210"/>
    </row>
    <row r="30" spans="1:9">
      <c r="A30" s="216">
        <v>6.05</v>
      </c>
      <c r="B30" s="217" t="s">
        <v>652</v>
      </c>
      <c r="C30" s="217">
        <v>10</v>
      </c>
      <c r="D30" s="217">
        <v>0.28999999999999998</v>
      </c>
      <c r="E30" s="217">
        <v>2.9</v>
      </c>
      <c r="F30" s="217">
        <v>29</v>
      </c>
      <c r="G30" s="210"/>
      <c r="H30" s="210"/>
      <c r="I30" s="210"/>
    </row>
    <row r="31" spans="1:9">
      <c r="A31" s="213">
        <v>6.05</v>
      </c>
      <c r="B31" s="214" t="s">
        <v>654</v>
      </c>
      <c r="C31" s="214">
        <v>72</v>
      </c>
      <c r="D31" s="214">
        <v>0.69</v>
      </c>
      <c r="E31" s="214">
        <v>49.68</v>
      </c>
      <c r="F31" s="214">
        <v>64.58</v>
      </c>
      <c r="G31" s="210"/>
      <c r="H31" s="210"/>
      <c r="I31" s="210"/>
    </row>
    <row r="32" spans="1:9">
      <c r="A32" s="213">
        <v>6.05</v>
      </c>
      <c r="B32" s="214" t="s">
        <v>648</v>
      </c>
      <c r="C32" s="214">
        <v>8</v>
      </c>
      <c r="D32" s="214">
        <v>0.87</v>
      </c>
      <c r="E32" s="214">
        <v>6.96</v>
      </c>
      <c r="F32" s="214">
        <v>9.0500000000000007</v>
      </c>
      <c r="G32" s="210"/>
      <c r="H32" s="210"/>
      <c r="I32" s="210"/>
    </row>
    <row r="33" spans="1:9">
      <c r="A33" s="213">
        <v>6.05</v>
      </c>
      <c r="B33" s="214" t="s">
        <v>671</v>
      </c>
      <c r="C33" s="214">
        <v>8</v>
      </c>
      <c r="D33" s="214">
        <v>0.87</v>
      </c>
      <c r="E33" s="214">
        <v>6.96</v>
      </c>
      <c r="F33" s="214">
        <v>9.0500000000000007</v>
      </c>
      <c r="G33" s="210"/>
      <c r="H33" s="210"/>
      <c r="I33" s="210"/>
    </row>
    <row r="34" spans="1:9">
      <c r="A34" s="216">
        <v>6.05</v>
      </c>
      <c r="B34" s="217" t="s">
        <v>653</v>
      </c>
      <c r="C34" s="217">
        <v>20</v>
      </c>
      <c r="D34" s="217">
        <v>0.67</v>
      </c>
      <c r="E34" s="217">
        <v>13.4</v>
      </c>
      <c r="F34" s="217">
        <v>58</v>
      </c>
      <c r="G34" s="210"/>
      <c r="H34" s="210"/>
      <c r="I34" s="210"/>
    </row>
    <row r="35" spans="1:9">
      <c r="A35" s="213">
        <v>6.05</v>
      </c>
      <c r="B35" s="214" t="s">
        <v>621</v>
      </c>
      <c r="C35" s="214">
        <v>8</v>
      </c>
      <c r="D35" s="214">
        <v>0.87</v>
      </c>
      <c r="E35" s="214">
        <v>6.96</v>
      </c>
      <c r="F35" s="214">
        <v>9.0500000000000007</v>
      </c>
      <c r="G35" s="210"/>
      <c r="H35" s="210"/>
      <c r="I35" s="210"/>
    </row>
    <row r="36" spans="1:9">
      <c r="A36" s="213">
        <v>6.05</v>
      </c>
      <c r="B36" s="214" t="s">
        <v>450</v>
      </c>
      <c r="C36" s="214">
        <v>4</v>
      </c>
      <c r="D36" s="214">
        <v>1.89</v>
      </c>
      <c r="E36" s="214">
        <v>7.56</v>
      </c>
      <c r="F36" s="214">
        <v>9.83</v>
      </c>
      <c r="G36" s="210"/>
      <c r="H36" s="210"/>
      <c r="I36" s="210"/>
    </row>
    <row r="37" spans="1:9">
      <c r="A37" s="213">
        <v>6.05</v>
      </c>
      <c r="B37" s="214" t="s">
        <v>279</v>
      </c>
      <c r="C37" s="214">
        <v>4</v>
      </c>
      <c r="D37" s="214">
        <v>2.52</v>
      </c>
      <c r="E37" s="214">
        <v>10.08</v>
      </c>
      <c r="F37" s="214">
        <v>13.1</v>
      </c>
      <c r="G37" s="210"/>
      <c r="H37" s="210"/>
      <c r="I37" s="210"/>
    </row>
    <row r="38" spans="1:9">
      <c r="A38" s="213">
        <v>6.05</v>
      </c>
      <c r="B38" s="214" t="s">
        <v>659</v>
      </c>
      <c r="C38" s="214">
        <v>6</v>
      </c>
      <c r="D38" s="214">
        <v>1.78</v>
      </c>
      <c r="E38" s="214">
        <v>10.68</v>
      </c>
      <c r="F38" s="214">
        <v>13.88</v>
      </c>
      <c r="G38" s="210"/>
      <c r="H38" s="210"/>
      <c r="I38" s="210"/>
    </row>
    <row r="39" spans="1:9">
      <c r="A39" s="213">
        <v>6.05</v>
      </c>
      <c r="B39" s="214" t="s">
        <v>405</v>
      </c>
      <c r="C39" s="214">
        <v>1</v>
      </c>
      <c r="D39" s="214">
        <v>3.29</v>
      </c>
      <c r="E39" s="214">
        <v>3.29</v>
      </c>
      <c r="F39" s="214">
        <v>4.28</v>
      </c>
      <c r="G39" s="210"/>
      <c r="H39" s="210"/>
      <c r="I39" s="210"/>
    </row>
    <row r="40" spans="1:9">
      <c r="A40" s="213">
        <v>6.05</v>
      </c>
      <c r="B40" s="214" t="s">
        <v>392</v>
      </c>
      <c r="C40" s="214">
        <v>1</v>
      </c>
      <c r="D40" s="214">
        <v>5.05</v>
      </c>
      <c r="E40" s="214">
        <v>5.05</v>
      </c>
      <c r="F40" s="214">
        <v>6.57</v>
      </c>
      <c r="G40" s="210"/>
      <c r="H40" s="210"/>
      <c r="I40" s="210"/>
    </row>
    <row r="41" spans="1:9">
      <c r="A41" s="213">
        <v>6.05</v>
      </c>
      <c r="B41" s="214" t="s">
        <v>658</v>
      </c>
      <c r="C41" s="214">
        <v>3</v>
      </c>
      <c r="D41" s="214">
        <v>2.06</v>
      </c>
      <c r="E41" s="214">
        <v>6.18</v>
      </c>
      <c r="F41" s="214">
        <v>8.0299999999999994</v>
      </c>
      <c r="G41" s="210"/>
      <c r="H41" s="210"/>
      <c r="I41" s="210"/>
    </row>
    <row r="42" spans="1:9">
      <c r="A42" s="213">
        <v>6.05</v>
      </c>
      <c r="B42" s="214" t="s">
        <v>662</v>
      </c>
      <c r="C42" s="214">
        <v>24</v>
      </c>
      <c r="D42" s="214">
        <v>1.64</v>
      </c>
      <c r="E42" s="214">
        <v>39.36</v>
      </c>
      <c r="F42" s="214">
        <v>51.17</v>
      </c>
      <c r="G42" s="210"/>
      <c r="H42" s="210"/>
      <c r="I42" s="210"/>
    </row>
    <row r="43" spans="1:9">
      <c r="A43" s="213">
        <v>6.05</v>
      </c>
      <c r="B43" s="214" t="s">
        <v>271</v>
      </c>
      <c r="C43" s="214">
        <v>1</v>
      </c>
      <c r="D43" s="214">
        <v>8.7899999999999991</v>
      </c>
      <c r="E43" s="214">
        <v>8.7899999999999991</v>
      </c>
      <c r="F43" s="214">
        <v>11.43</v>
      </c>
      <c r="G43" s="210"/>
      <c r="H43" s="210"/>
      <c r="I43" s="210"/>
    </row>
    <row r="44" spans="1:9">
      <c r="A44" s="213">
        <v>6.05</v>
      </c>
      <c r="B44" s="214" t="s">
        <v>449</v>
      </c>
      <c r="C44" s="214">
        <v>2</v>
      </c>
      <c r="D44" s="214">
        <v>2.99</v>
      </c>
      <c r="E44" s="214">
        <v>5.98</v>
      </c>
      <c r="F44" s="214">
        <v>7.77</v>
      </c>
      <c r="G44" s="210"/>
      <c r="H44" s="210"/>
      <c r="I44" s="210"/>
    </row>
    <row r="45" spans="1:9">
      <c r="A45" s="213">
        <v>11.05</v>
      </c>
      <c r="B45" s="214" t="s">
        <v>371</v>
      </c>
      <c r="C45" s="214">
        <v>3</v>
      </c>
      <c r="D45" s="214">
        <v>1.1299999999999999</v>
      </c>
      <c r="E45" s="214">
        <v>3.39</v>
      </c>
      <c r="F45" s="214">
        <v>4.41</v>
      </c>
      <c r="G45" s="210"/>
      <c r="H45" s="210"/>
      <c r="I45" s="210"/>
    </row>
    <row r="46" spans="1:9">
      <c r="A46" s="213">
        <v>11.05</v>
      </c>
      <c r="B46" s="214" t="s">
        <v>272</v>
      </c>
      <c r="C46" s="214">
        <v>6</v>
      </c>
      <c r="D46" s="214">
        <v>1.65</v>
      </c>
      <c r="E46" s="214">
        <v>9.91</v>
      </c>
      <c r="F46" s="214">
        <v>12.89</v>
      </c>
      <c r="G46" s="210"/>
      <c r="H46" s="210"/>
      <c r="I46" s="210"/>
    </row>
    <row r="47" spans="1:9">
      <c r="A47" s="213">
        <v>11.05</v>
      </c>
      <c r="B47" s="214" t="s">
        <v>676</v>
      </c>
      <c r="C47" s="214">
        <v>2</v>
      </c>
      <c r="D47" s="214">
        <v>6.4</v>
      </c>
      <c r="E47" s="214">
        <v>12.8</v>
      </c>
      <c r="F47" s="214">
        <v>16.64</v>
      </c>
      <c r="G47" s="210"/>
      <c r="H47" s="210"/>
      <c r="I47" s="210"/>
    </row>
    <row r="48" spans="1:9">
      <c r="A48" s="213">
        <v>11.05</v>
      </c>
      <c r="B48" s="214" t="s">
        <v>672</v>
      </c>
      <c r="C48" s="214">
        <v>1</v>
      </c>
      <c r="D48" s="214">
        <v>1.49</v>
      </c>
      <c r="E48" s="214">
        <v>1.49</v>
      </c>
      <c r="F48" s="214">
        <v>1.94</v>
      </c>
      <c r="G48" s="210"/>
      <c r="H48" s="210"/>
      <c r="I48" s="210"/>
    </row>
    <row r="49" spans="1:9">
      <c r="A49" s="213">
        <v>11.05</v>
      </c>
      <c r="B49" s="214" t="s">
        <v>673</v>
      </c>
      <c r="C49" s="214">
        <v>1</v>
      </c>
      <c r="D49" s="214">
        <v>1.24</v>
      </c>
      <c r="E49" s="214">
        <v>1.24</v>
      </c>
      <c r="F49" s="214">
        <v>1.61</v>
      </c>
      <c r="G49" s="210"/>
      <c r="H49" s="210"/>
      <c r="I49" s="210"/>
    </row>
    <row r="50" spans="1:9">
      <c r="A50" s="213">
        <v>11.05</v>
      </c>
      <c r="B50" s="214" t="s">
        <v>723</v>
      </c>
      <c r="C50" s="214">
        <v>30</v>
      </c>
      <c r="D50" s="214">
        <v>1.1399999999999999</v>
      </c>
      <c r="E50" s="214">
        <v>34.200000000000003</v>
      </c>
      <c r="F50" s="214">
        <v>44.46</v>
      </c>
      <c r="G50" s="210"/>
      <c r="H50" s="210"/>
      <c r="I50" s="210"/>
    </row>
    <row r="51" spans="1:9">
      <c r="A51" s="213">
        <v>11.05</v>
      </c>
      <c r="B51" s="214" t="s">
        <v>273</v>
      </c>
      <c r="C51" s="214">
        <v>6</v>
      </c>
      <c r="D51" s="214">
        <v>2.34</v>
      </c>
      <c r="E51" s="214">
        <v>14.04</v>
      </c>
      <c r="F51" s="214">
        <v>18.25</v>
      </c>
      <c r="G51" s="210"/>
      <c r="H51" s="210"/>
      <c r="I51" s="210"/>
    </row>
    <row r="52" spans="1:9">
      <c r="A52" s="216">
        <v>11.05</v>
      </c>
      <c r="B52" s="217" t="s">
        <v>652</v>
      </c>
      <c r="C52" s="217">
        <v>10</v>
      </c>
      <c r="D52" s="217">
        <v>0.28999999999999998</v>
      </c>
      <c r="E52" s="217">
        <v>2.9</v>
      </c>
      <c r="F52" s="217">
        <v>29</v>
      </c>
      <c r="G52" s="210"/>
      <c r="H52" s="210"/>
      <c r="I52" s="210"/>
    </row>
    <row r="53" spans="1:9">
      <c r="A53" s="213">
        <v>11.05</v>
      </c>
      <c r="B53" s="214" t="s">
        <v>670</v>
      </c>
      <c r="C53" s="214">
        <v>9</v>
      </c>
      <c r="D53" s="214">
        <v>3.89</v>
      </c>
      <c r="E53" s="214">
        <v>35.01</v>
      </c>
      <c r="F53" s="214">
        <v>45.51</v>
      </c>
      <c r="G53" s="210"/>
      <c r="H53" s="210"/>
      <c r="I53" s="210"/>
    </row>
    <row r="54" spans="1:9">
      <c r="A54" s="213">
        <v>11.05</v>
      </c>
      <c r="B54" s="214" t="s">
        <v>648</v>
      </c>
      <c r="C54" s="214">
        <v>12</v>
      </c>
      <c r="D54" s="214">
        <v>0.81</v>
      </c>
      <c r="E54" s="214">
        <v>9.7200000000000006</v>
      </c>
      <c r="F54" s="214">
        <v>12.64</v>
      </c>
      <c r="G54" s="210"/>
      <c r="H54" s="210"/>
      <c r="I54" s="210"/>
    </row>
    <row r="55" spans="1:9">
      <c r="A55" s="213">
        <v>11.05</v>
      </c>
      <c r="B55" s="214" t="s">
        <v>671</v>
      </c>
      <c r="C55" s="214">
        <v>6</v>
      </c>
      <c r="D55" s="214">
        <v>0.81</v>
      </c>
      <c r="E55" s="214">
        <v>4.8600000000000003</v>
      </c>
      <c r="F55" s="214">
        <v>6.32</v>
      </c>
      <c r="G55" s="210"/>
      <c r="H55" s="210"/>
      <c r="I55" s="210"/>
    </row>
    <row r="56" spans="1:9">
      <c r="A56" s="216">
        <v>11.05</v>
      </c>
      <c r="B56" s="217" t="s">
        <v>653</v>
      </c>
      <c r="C56" s="217">
        <v>20</v>
      </c>
      <c r="D56" s="217">
        <v>0.67</v>
      </c>
      <c r="E56" s="217">
        <v>13.4</v>
      </c>
      <c r="F56" s="217">
        <v>58</v>
      </c>
      <c r="G56" s="210"/>
      <c r="H56" s="210"/>
      <c r="I56" s="210"/>
    </row>
    <row r="57" spans="1:9">
      <c r="A57" s="213">
        <v>11.05</v>
      </c>
      <c r="B57" s="214" t="s">
        <v>621</v>
      </c>
      <c r="C57" s="214">
        <v>8</v>
      </c>
      <c r="D57" s="214">
        <v>0.57999999999999996</v>
      </c>
      <c r="E57" s="214">
        <v>4.6399999999999997</v>
      </c>
      <c r="F57" s="214">
        <v>6.03</v>
      </c>
      <c r="G57" s="210"/>
      <c r="H57" s="210"/>
      <c r="I57" s="210"/>
    </row>
    <row r="58" spans="1:9">
      <c r="A58" s="213">
        <v>11.05</v>
      </c>
      <c r="B58" s="214" t="s">
        <v>450</v>
      </c>
      <c r="C58" s="214">
        <v>0.4</v>
      </c>
      <c r="D58" s="214">
        <v>9.49</v>
      </c>
      <c r="E58" s="214">
        <v>3.79</v>
      </c>
      <c r="F58" s="214">
        <v>4.93</v>
      </c>
      <c r="G58" s="210"/>
      <c r="H58" s="210"/>
      <c r="I58" s="210"/>
    </row>
    <row r="59" spans="1:9">
      <c r="A59" s="213">
        <v>11.05</v>
      </c>
      <c r="B59" s="214" t="s">
        <v>212</v>
      </c>
      <c r="C59" s="214">
        <v>1</v>
      </c>
      <c r="D59" s="214">
        <v>8.49</v>
      </c>
      <c r="E59" s="214">
        <v>8.49</v>
      </c>
      <c r="F59" s="214">
        <v>11.04</v>
      </c>
      <c r="G59" s="210"/>
      <c r="H59" s="210"/>
      <c r="I59" s="210"/>
    </row>
    <row r="60" spans="1:9">
      <c r="A60" s="213">
        <v>11.05</v>
      </c>
      <c r="B60" s="214" t="s">
        <v>405</v>
      </c>
      <c r="C60" s="214">
        <v>4</v>
      </c>
      <c r="D60" s="214">
        <v>0.83</v>
      </c>
      <c r="E60" s="214">
        <v>3.3</v>
      </c>
      <c r="F60" s="214">
        <v>4.29</v>
      </c>
      <c r="G60" s="210"/>
      <c r="H60" s="210"/>
      <c r="I60" s="210"/>
    </row>
    <row r="61" spans="1:9">
      <c r="A61" s="213">
        <v>11.05</v>
      </c>
      <c r="B61" s="214" t="s">
        <v>392</v>
      </c>
      <c r="C61" s="214">
        <v>1.5</v>
      </c>
      <c r="D61" s="214">
        <v>3.5</v>
      </c>
      <c r="E61" s="214">
        <v>5.25</v>
      </c>
      <c r="F61" s="214">
        <v>6.82</v>
      </c>
      <c r="G61" s="210"/>
      <c r="H61" s="210"/>
      <c r="I61" s="210"/>
    </row>
    <row r="62" spans="1:9">
      <c r="A62" s="213">
        <v>11.05</v>
      </c>
      <c r="B62" s="214" t="s">
        <v>662</v>
      </c>
      <c r="C62" s="214">
        <v>12</v>
      </c>
      <c r="D62" s="214">
        <v>1.61</v>
      </c>
      <c r="E62" s="214">
        <v>19.34</v>
      </c>
      <c r="F62" s="214">
        <v>25.15</v>
      </c>
      <c r="G62" s="210"/>
      <c r="H62" s="210"/>
      <c r="I62" s="210"/>
    </row>
    <row r="63" spans="1:9">
      <c r="A63" s="213">
        <v>11.05</v>
      </c>
      <c r="B63" s="214" t="s">
        <v>663</v>
      </c>
      <c r="C63" s="214">
        <v>6</v>
      </c>
      <c r="D63" s="214">
        <v>1.59</v>
      </c>
      <c r="E63" s="214">
        <v>9.5399999999999991</v>
      </c>
      <c r="F63" s="214">
        <v>12.4</v>
      </c>
      <c r="G63" s="210"/>
      <c r="H63" s="210"/>
      <c r="I63" s="210"/>
    </row>
    <row r="64" spans="1:9">
      <c r="A64" s="213">
        <v>11.05</v>
      </c>
      <c r="B64" s="214" t="s">
        <v>669</v>
      </c>
      <c r="C64" s="214">
        <v>1</v>
      </c>
      <c r="D64" s="214">
        <v>19</v>
      </c>
      <c r="E64" s="214">
        <v>19</v>
      </c>
      <c r="F64" s="214">
        <v>24.7</v>
      </c>
      <c r="G64" s="210"/>
      <c r="H64" s="210"/>
      <c r="I64" s="210"/>
    </row>
    <row r="65" spans="1:9">
      <c r="A65" s="213">
        <v>11.05</v>
      </c>
      <c r="B65" s="214" t="s">
        <v>664</v>
      </c>
      <c r="C65" s="214">
        <v>3</v>
      </c>
      <c r="D65" s="214">
        <v>2.52</v>
      </c>
      <c r="E65" s="214">
        <v>7.56</v>
      </c>
      <c r="F65" s="214">
        <v>9.83</v>
      </c>
      <c r="G65" s="210"/>
      <c r="H65" s="210"/>
      <c r="I65" s="210"/>
    </row>
    <row r="66" spans="1:9">
      <c r="A66" s="213">
        <v>11.05</v>
      </c>
      <c r="B66" s="214" t="s">
        <v>666</v>
      </c>
      <c r="C66" s="214">
        <v>1</v>
      </c>
      <c r="D66" s="214">
        <v>10.050000000000001</v>
      </c>
      <c r="E66" s="214">
        <v>10.050000000000001</v>
      </c>
      <c r="F66" s="214">
        <v>13.07</v>
      </c>
      <c r="G66" s="210"/>
      <c r="H66" s="210"/>
      <c r="I66" s="210"/>
    </row>
    <row r="67" spans="1:9">
      <c r="A67" s="213">
        <v>11.05</v>
      </c>
      <c r="B67" s="214" t="s">
        <v>713</v>
      </c>
      <c r="C67" s="214">
        <v>0.5</v>
      </c>
      <c r="D67" s="214">
        <v>2.42</v>
      </c>
      <c r="E67" s="214">
        <v>1.21</v>
      </c>
      <c r="F67" s="214">
        <v>1.57</v>
      </c>
      <c r="G67" s="210"/>
      <c r="H67" s="210"/>
      <c r="I67" s="210"/>
    </row>
    <row r="68" spans="1:9">
      <c r="A68" s="213">
        <v>11.05</v>
      </c>
      <c r="B68" s="214" t="s">
        <v>675</v>
      </c>
      <c r="C68" s="214">
        <v>6</v>
      </c>
      <c r="D68" s="214">
        <v>1.89</v>
      </c>
      <c r="E68" s="214">
        <v>11.34</v>
      </c>
      <c r="F68" s="214">
        <v>14.74</v>
      </c>
      <c r="G68" s="210"/>
      <c r="H68" s="210"/>
      <c r="I68" s="210"/>
    </row>
    <row r="69" spans="1:9">
      <c r="A69" s="213">
        <v>11.05</v>
      </c>
      <c r="B69" s="214" t="s">
        <v>404</v>
      </c>
      <c r="C69" s="214">
        <v>6</v>
      </c>
      <c r="D69" s="214">
        <v>1.45</v>
      </c>
      <c r="E69" s="214">
        <v>8.68</v>
      </c>
      <c r="F69" s="214">
        <v>11.29</v>
      </c>
      <c r="G69" s="210"/>
      <c r="H69" s="210"/>
      <c r="I69" s="210"/>
    </row>
    <row r="70" spans="1:9">
      <c r="A70" s="213">
        <v>11.05</v>
      </c>
      <c r="B70" s="214" t="s">
        <v>271</v>
      </c>
      <c r="C70" s="214">
        <v>1</v>
      </c>
      <c r="D70" s="214">
        <v>4.91</v>
      </c>
      <c r="E70" s="214">
        <v>4.91</v>
      </c>
      <c r="F70" s="214">
        <v>6.38</v>
      </c>
      <c r="G70" s="210"/>
      <c r="H70" s="210"/>
      <c r="I70" s="210"/>
    </row>
    <row r="71" spans="1:9">
      <c r="A71" s="213">
        <v>11.05</v>
      </c>
      <c r="B71" s="214" t="s">
        <v>409</v>
      </c>
      <c r="C71" s="214">
        <v>0.5</v>
      </c>
      <c r="D71" s="214">
        <v>4.38</v>
      </c>
      <c r="E71" s="214">
        <v>2.19</v>
      </c>
      <c r="F71" s="214">
        <v>2.85</v>
      </c>
      <c r="G71" s="210"/>
      <c r="H71" s="210"/>
      <c r="I71" s="210"/>
    </row>
    <row r="72" spans="1:9">
      <c r="A72" s="213">
        <v>11.05</v>
      </c>
      <c r="B72" s="214" t="s">
        <v>674</v>
      </c>
      <c r="C72" s="214">
        <v>6</v>
      </c>
      <c r="D72" s="214">
        <v>1.71</v>
      </c>
      <c r="E72" s="214">
        <v>10.27</v>
      </c>
      <c r="F72" s="214">
        <v>13.35</v>
      </c>
      <c r="G72" s="210"/>
      <c r="H72" s="210"/>
      <c r="I72" s="210"/>
    </row>
    <row r="73" spans="1:9">
      <c r="A73" s="213">
        <v>18.05</v>
      </c>
      <c r="B73" s="214" t="s">
        <v>607</v>
      </c>
      <c r="C73" s="214">
        <v>4</v>
      </c>
      <c r="D73" s="214">
        <v>2.4500000000000002</v>
      </c>
      <c r="E73" s="214">
        <v>9.8000000000000007</v>
      </c>
      <c r="F73" s="214">
        <v>12.74</v>
      </c>
      <c r="G73" s="210"/>
      <c r="H73" s="210"/>
      <c r="I73" s="210"/>
    </row>
    <row r="74" spans="1:9">
      <c r="A74" s="213">
        <v>18.05</v>
      </c>
      <c r="B74" s="214" t="s">
        <v>371</v>
      </c>
      <c r="C74" s="214">
        <v>3</v>
      </c>
      <c r="D74" s="214">
        <v>1.1000000000000001</v>
      </c>
      <c r="E74" s="214">
        <v>3.3</v>
      </c>
      <c r="F74" s="214">
        <v>4.29</v>
      </c>
      <c r="G74" s="210"/>
      <c r="H74" s="210"/>
      <c r="I74" s="210"/>
    </row>
    <row r="75" spans="1:9">
      <c r="A75" s="213">
        <v>18.05</v>
      </c>
      <c r="B75" s="214" t="s">
        <v>691</v>
      </c>
      <c r="C75" s="214">
        <v>10</v>
      </c>
      <c r="D75" s="214">
        <v>0.52</v>
      </c>
      <c r="E75" s="214">
        <v>5.2</v>
      </c>
      <c r="F75" s="214">
        <v>6.76</v>
      </c>
      <c r="G75" s="210"/>
      <c r="H75" s="210"/>
      <c r="I75" s="210"/>
    </row>
    <row r="76" spans="1:9">
      <c r="A76" s="213">
        <v>18.05</v>
      </c>
      <c r="B76" s="214" t="s">
        <v>689</v>
      </c>
      <c r="C76" s="214">
        <v>2</v>
      </c>
      <c r="D76" s="214">
        <v>1.24</v>
      </c>
      <c r="E76" s="214">
        <v>2.48</v>
      </c>
      <c r="F76" s="214">
        <v>3.22</v>
      </c>
      <c r="G76" s="210"/>
      <c r="H76" s="210"/>
      <c r="I76" s="210"/>
    </row>
    <row r="77" spans="1:9">
      <c r="A77" s="213">
        <v>18.05</v>
      </c>
      <c r="B77" s="214" t="s">
        <v>273</v>
      </c>
      <c r="C77" s="214">
        <v>6</v>
      </c>
      <c r="D77" s="214">
        <v>2.34</v>
      </c>
      <c r="E77" s="214">
        <v>14.04</v>
      </c>
      <c r="F77" s="214">
        <v>18.25</v>
      </c>
      <c r="G77" s="210"/>
      <c r="H77" s="210"/>
      <c r="I77" s="210"/>
    </row>
    <row r="78" spans="1:9">
      <c r="A78" s="216">
        <v>18.05</v>
      </c>
      <c r="B78" s="217" t="s">
        <v>652</v>
      </c>
      <c r="C78" s="217">
        <v>10</v>
      </c>
      <c r="D78" s="217">
        <v>0.28999999999999998</v>
      </c>
      <c r="E78" s="217">
        <v>2.9</v>
      </c>
      <c r="F78" s="217">
        <v>29</v>
      </c>
      <c r="G78" s="210"/>
      <c r="H78" s="210"/>
      <c r="I78" s="210"/>
    </row>
    <row r="79" spans="1:9">
      <c r="A79" s="213">
        <v>18.05</v>
      </c>
      <c r="B79" s="214" t="s">
        <v>670</v>
      </c>
      <c r="C79" s="214">
        <v>10</v>
      </c>
      <c r="D79" s="214">
        <v>1.59</v>
      </c>
      <c r="E79" s="214">
        <v>15.9</v>
      </c>
      <c r="F79" s="214">
        <v>20.67</v>
      </c>
      <c r="G79" s="210"/>
      <c r="H79" s="210"/>
      <c r="I79" s="210"/>
    </row>
    <row r="80" spans="1:9">
      <c r="A80" s="213">
        <v>18.05</v>
      </c>
      <c r="B80" s="214" t="s">
        <v>678</v>
      </c>
      <c r="C80" s="214">
        <v>5</v>
      </c>
      <c r="D80" s="214">
        <v>2.94</v>
      </c>
      <c r="E80" s="214">
        <v>14.69</v>
      </c>
      <c r="F80" s="214">
        <v>19.100000000000001</v>
      </c>
      <c r="G80" s="210"/>
      <c r="H80" s="210"/>
      <c r="I80" s="210"/>
    </row>
    <row r="81" spans="1:9">
      <c r="A81" s="213">
        <v>18.05</v>
      </c>
      <c r="B81" s="214" t="s">
        <v>687</v>
      </c>
      <c r="C81" s="214">
        <v>6</v>
      </c>
      <c r="D81" s="214">
        <v>2.29</v>
      </c>
      <c r="E81" s="214">
        <v>13.74</v>
      </c>
      <c r="F81" s="214">
        <v>17.86</v>
      </c>
      <c r="G81" s="210"/>
      <c r="H81" s="210"/>
      <c r="I81" s="210"/>
    </row>
    <row r="82" spans="1:9">
      <c r="A82" s="216">
        <v>18.05</v>
      </c>
      <c r="B82" s="217" t="s">
        <v>653</v>
      </c>
      <c r="C82" s="217">
        <v>20</v>
      </c>
      <c r="D82" s="217">
        <v>0.67</v>
      </c>
      <c r="E82" s="217">
        <v>13.4</v>
      </c>
      <c r="F82" s="217">
        <v>58</v>
      </c>
      <c r="G82" s="210"/>
      <c r="H82" s="210"/>
      <c r="I82" s="210"/>
    </row>
    <row r="83" spans="1:9">
      <c r="A83" s="213">
        <v>18.05</v>
      </c>
      <c r="B83" s="214" t="s">
        <v>692</v>
      </c>
      <c r="C83" s="214">
        <v>0.4</v>
      </c>
      <c r="D83" s="214">
        <v>2</v>
      </c>
      <c r="E83" s="214">
        <v>0.8</v>
      </c>
      <c r="F83" s="214">
        <v>1.04</v>
      </c>
      <c r="G83" s="210"/>
      <c r="H83" s="210"/>
      <c r="I83" s="210"/>
    </row>
    <row r="84" spans="1:9">
      <c r="A84" s="213">
        <v>18.05</v>
      </c>
      <c r="B84" s="214" t="s">
        <v>279</v>
      </c>
      <c r="C84" s="214">
        <v>1</v>
      </c>
      <c r="D84" s="214">
        <v>5.04</v>
      </c>
      <c r="E84" s="214">
        <v>5.04</v>
      </c>
      <c r="F84" s="214">
        <v>6.55</v>
      </c>
      <c r="G84" s="210"/>
      <c r="H84" s="210"/>
      <c r="I84" s="210"/>
    </row>
    <row r="85" spans="1:9">
      <c r="A85" s="213">
        <v>18.05</v>
      </c>
      <c r="B85" s="214" t="s">
        <v>680</v>
      </c>
      <c r="C85" s="214">
        <v>2</v>
      </c>
      <c r="D85" s="214">
        <v>2.06</v>
      </c>
      <c r="E85" s="214">
        <v>4.12</v>
      </c>
      <c r="F85" s="214">
        <v>5.36</v>
      </c>
      <c r="G85" s="210"/>
      <c r="H85" s="210"/>
      <c r="I85" s="210"/>
    </row>
    <row r="86" spans="1:9">
      <c r="A86" s="213">
        <v>18.05</v>
      </c>
      <c r="B86" s="214" t="s">
        <v>392</v>
      </c>
      <c r="C86" s="214">
        <v>1.5</v>
      </c>
      <c r="D86" s="214">
        <v>3.51</v>
      </c>
      <c r="E86" s="214">
        <v>5.26</v>
      </c>
      <c r="F86" s="214">
        <v>6.84</v>
      </c>
      <c r="G86" s="210"/>
      <c r="H86" s="210"/>
      <c r="I86" s="210"/>
    </row>
    <row r="87" spans="1:9">
      <c r="A87" s="213">
        <v>18.05</v>
      </c>
      <c r="B87" s="214" t="s">
        <v>452</v>
      </c>
      <c r="C87" s="214">
        <v>1</v>
      </c>
      <c r="D87" s="214">
        <v>1.88</v>
      </c>
      <c r="E87" s="214">
        <v>1.88</v>
      </c>
      <c r="F87" s="214">
        <v>2.44</v>
      </c>
      <c r="G87" s="210"/>
      <c r="H87" s="210"/>
      <c r="I87" s="210"/>
    </row>
    <row r="88" spans="1:9">
      <c r="A88" s="213">
        <v>18.05</v>
      </c>
      <c r="B88" s="214" t="s">
        <v>662</v>
      </c>
      <c r="C88" s="214">
        <v>12</v>
      </c>
      <c r="D88" s="214">
        <v>1.61</v>
      </c>
      <c r="E88" s="214">
        <v>19.34</v>
      </c>
      <c r="F88" s="214">
        <v>25.15</v>
      </c>
      <c r="G88" s="210"/>
      <c r="H88" s="210"/>
      <c r="I88" s="210"/>
    </row>
    <row r="89" spans="1:9">
      <c r="A89" s="213">
        <v>18.05</v>
      </c>
      <c r="B89" s="214" t="s">
        <v>663</v>
      </c>
      <c r="C89" s="214">
        <v>1</v>
      </c>
      <c r="D89" s="214">
        <v>1.59</v>
      </c>
      <c r="E89" s="214">
        <v>1.59</v>
      </c>
      <c r="F89" s="214">
        <v>2.0699999999999998</v>
      </c>
      <c r="G89" s="210"/>
      <c r="H89" s="210"/>
      <c r="I89" s="210"/>
    </row>
    <row r="90" spans="1:9">
      <c r="A90" s="213">
        <v>18.05</v>
      </c>
      <c r="B90" s="214" t="s">
        <v>713</v>
      </c>
      <c r="C90" s="214">
        <v>0.5</v>
      </c>
      <c r="D90" s="214">
        <v>2.42</v>
      </c>
      <c r="E90" s="214">
        <v>1.21</v>
      </c>
      <c r="F90" s="214">
        <v>1.57</v>
      </c>
      <c r="G90" s="210"/>
      <c r="H90" s="210"/>
      <c r="I90" s="210"/>
    </row>
    <row r="91" spans="1:9">
      <c r="A91" s="213">
        <v>18.05</v>
      </c>
      <c r="B91" s="214" t="s">
        <v>404</v>
      </c>
      <c r="C91" s="214">
        <v>6</v>
      </c>
      <c r="D91" s="214">
        <v>1.44</v>
      </c>
      <c r="E91" s="214">
        <v>8.66</v>
      </c>
      <c r="F91" s="214">
        <v>11.26</v>
      </c>
      <c r="G91" s="210"/>
      <c r="H91" s="210"/>
      <c r="I91" s="210"/>
    </row>
    <row r="92" spans="1:9">
      <c r="A92" s="213">
        <v>18.05</v>
      </c>
      <c r="B92" s="214" t="s">
        <v>271</v>
      </c>
      <c r="C92" s="214">
        <v>3</v>
      </c>
      <c r="D92" s="214">
        <v>1.72</v>
      </c>
      <c r="E92" s="214">
        <v>5.17</v>
      </c>
      <c r="F92" s="214">
        <v>6.72</v>
      </c>
      <c r="G92" s="210"/>
      <c r="H92" s="210"/>
      <c r="I92" s="210"/>
    </row>
    <row r="93" spans="1:9">
      <c r="A93" s="213">
        <v>18.05</v>
      </c>
      <c r="B93" s="214" t="s">
        <v>638</v>
      </c>
      <c r="C93" s="214">
        <v>1</v>
      </c>
      <c r="D93" s="214">
        <v>5.18</v>
      </c>
      <c r="E93" s="214">
        <v>5.18</v>
      </c>
      <c r="F93" s="214">
        <v>6.73</v>
      </c>
      <c r="G93" s="210"/>
      <c r="H93" s="210"/>
      <c r="I93" s="210"/>
    </row>
    <row r="94" spans="1:9">
      <c r="A94" s="213">
        <v>18.05</v>
      </c>
      <c r="B94" s="214" t="s">
        <v>682</v>
      </c>
      <c r="C94" s="214">
        <v>4</v>
      </c>
      <c r="D94" s="214">
        <v>2.4</v>
      </c>
      <c r="E94" s="214">
        <v>9.6</v>
      </c>
      <c r="F94" s="214">
        <v>12.48</v>
      </c>
      <c r="G94" s="210"/>
      <c r="H94" s="210"/>
      <c r="I94" s="210"/>
    </row>
    <row r="95" spans="1:9">
      <c r="A95" s="213">
        <v>18.05</v>
      </c>
      <c r="B95" s="214" t="s">
        <v>409</v>
      </c>
      <c r="C95" s="214">
        <v>1</v>
      </c>
      <c r="D95" s="214">
        <v>4.7300000000000004</v>
      </c>
      <c r="E95" s="214">
        <v>4.7300000000000004</v>
      </c>
      <c r="F95" s="214">
        <v>6.15</v>
      </c>
      <c r="G95" s="210"/>
      <c r="H95" s="210"/>
      <c r="I95" s="210"/>
    </row>
    <row r="96" spans="1:9">
      <c r="A96" s="213">
        <v>18.05</v>
      </c>
      <c r="B96" s="214" t="s">
        <v>683</v>
      </c>
      <c r="C96" s="214">
        <v>5</v>
      </c>
      <c r="D96" s="214">
        <v>1.1299999999999999</v>
      </c>
      <c r="E96" s="214">
        <v>5.65</v>
      </c>
      <c r="F96" s="214">
        <v>7.35</v>
      </c>
      <c r="G96" s="210"/>
      <c r="H96" s="210"/>
      <c r="I96" s="210"/>
    </row>
    <row r="97" spans="1:9">
      <c r="A97" s="213">
        <v>18.05</v>
      </c>
      <c r="B97" s="214" t="s">
        <v>681</v>
      </c>
      <c r="C97" s="214">
        <v>3</v>
      </c>
      <c r="D97" s="214">
        <v>1.55</v>
      </c>
      <c r="E97" s="214">
        <v>4.6500000000000004</v>
      </c>
      <c r="F97" s="214">
        <v>6.05</v>
      </c>
      <c r="G97" s="210"/>
      <c r="H97" s="210"/>
      <c r="I97" s="210"/>
    </row>
    <row r="98" spans="1:9">
      <c r="A98" s="213">
        <v>20.05</v>
      </c>
      <c r="B98" s="214" t="s">
        <v>710</v>
      </c>
      <c r="C98" s="214">
        <v>1</v>
      </c>
      <c r="D98" s="214">
        <v>8.94</v>
      </c>
      <c r="E98" s="214">
        <v>8.94</v>
      </c>
      <c r="F98" s="214">
        <v>11.62</v>
      </c>
      <c r="G98" s="210"/>
      <c r="H98" s="210"/>
      <c r="I98" s="210"/>
    </row>
    <row r="99" spans="1:9">
      <c r="A99" s="213">
        <v>20.05</v>
      </c>
      <c r="B99" s="214" t="s">
        <v>639</v>
      </c>
      <c r="C99" s="214">
        <v>1</v>
      </c>
      <c r="D99" s="214">
        <v>3.95</v>
      </c>
      <c r="E99" s="214">
        <v>3.95</v>
      </c>
      <c r="F99" s="214">
        <v>5.14</v>
      </c>
      <c r="G99" s="210"/>
      <c r="H99" s="210"/>
      <c r="I99" s="210"/>
    </row>
    <row r="100" spans="1:9">
      <c r="A100" s="213">
        <v>20.05</v>
      </c>
      <c r="B100" s="214" t="s">
        <v>272</v>
      </c>
      <c r="C100" s="214">
        <v>4</v>
      </c>
      <c r="D100" s="214">
        <v>1.65</v>
      </c>
      <c r="E100" s="214">
        <v>6.58</v>
      </c>
      <c r="F100" s="214">
        <v>8.5500000000000007</v>
      </c>
      <c r="G100" s="210"/>
      <c r="H100" s="210"/>
      <c r="I100" s="210"/>
    </row>
    <row r="101" spans="1:9">
      <c r="A101" s="213">
        <v>20.05</v>
      </c>
      <c r="B101" s="214" t="s">
        <v>707</v>
      </c>
      <c r="C101" s="214">
        <v>1</v>
      </c>
      <c r="D101" s="214">
        <v>6.49</v>
      </c>
      <c r="E101" s="214">
        <v>6.49</v>
      </c>
      <c r="F101" s="214">
        <v>8.44</v>
      </c>
      <c r="G101" s="210"/>
      <c r="H101" s="210"/>
      <c r="I101" s="210"/>
    </row>
    <row r="102" spans="1:9">
      <c r="A102" s="213">
        <v>20.05</v>
      </c>
      <c r="B102" s="214" t="s">
        <v>273</v>
      </c>
      <c r="C102" s="214">
        <v>6</v>
      </c>
      <c r="D102" s="214">
        <v>2.34</v>
      </c>
      <c r="E102" s="214">
        <v>14.04</v>
      </c>
      <c r="F102" s="214">
        <v>18.25</v>
      </c>
      <c r="G102" s="210"/>
      <c r="H102" s="210"/>
      <c r="I102" s="210"/>
    </row>
    <row r="103" spans="1:9">
      <c r="A103" s="216">
        <v>20.05</v>
      </c>
      <c r="B103" s="217" t="s">
        <v>652</v>
      </c>
      <c r="C103" s="217">
        <v>10</v>
      </c>
      <c r="D103" s="217">
        <v>0.28999999999999998</v>
      </c>
      <c r="E103" s="217">
        <v>2.9</v>
      </c>
      <c r="F103" s="217">
        <v>29</v>
      </c>
      <c r="G103" s="210"/>
      <c r="H103" s="210"/>
      <c r="I103" s="210"/>
    </row>
    <row r="104" spans="1:9">
      <c r="A104" s="213">
        <v>20.05</v>
      </c>
      <c r="B104" s="214" t="s">
        <v>648</v>
      </c>
      <c r="C104" s="214">
        <v>24</v>
      </c>
      <c r="D104" s="214">
        <v>0.81</v>
      </c>
      <c r="E104" s="214">
        <v>19.440000000000001</v>
      </c>
      <c r="F104" s="214">
        <v>25.27</v>
      </c>
      <c r="G104" s="210"/>
      <c r="H104" s="210"/>
      <c r="I104" s="210"/>
    </row>
    <row r="105" spans="1:9">
      <c r="A105" s="213">
        <v>20.05</v>
      </c>
      <c r="B105" s="214" t="s">
        <v>671</v>
      </c>
      <c r="C105" s="214">
        <v>24</v>
      </c>
      <c r="D105" s="214">
        <v>0.81</v>
      </c>
      <c r="E105" s="214">
        <v>19.440000000000001</v>
      </c>
      <c r="F105" s="214">
        <v>25.27</v>
      </c>
      <c r="G105" s="210"/>
      <c r="H105" s="210"/>
      <c r="I105" s="210"/>
    </row>
    <row r="106" spans="1:9">
      <c r="A106" s="216">
        <v>20.05</v>
      </c>
      <c r="B106" s="217" t="s">
        <v>653</v>
      </c>
      <c r="C106" s="217">
        <v>20</v>
      </c>
      <c r="D106" s="217">
        <v>0.67</v>
      </c>
      <c r="E106" s="217">
        <v>13.4</v>
      </c>
      <c r="F106" s="217">
        <v>58</v>
      </c>
      <c r="G106" s="210"/>
      <c r="H106" s="210"/>
      <c r="I106" s="210"/>
    </row>
    <row r="107" spans="1:9">
      <c r="A107" s="213">
        <v>20.05</v>
      </c>
      <c r="B107" s="214" t="s">
        <v>621</v>
      </c>
      <c r="C107" s="214">
        <v>24</v>
      </c>
      <c r="D107" s="214">
        <v>0.7</v>
      </c>
      <c r="E107" s="214">
        <v>16.8</v>
      </c>
      <c r="F107" s="214">
        <v>21.84</v>
      </c>
      <c r="G107" s="210"/>
      <c r="H107" s="210"/>
      <c r="I107" s="210"/>
    </row>
    <row r="108" spans="1:9">
      <c r="A108" s="213">
        <v>20.05</v>
      </c>
      <c r="B108" s="214" t="s">
        <v>694</v>
      </c>
      <c r="C108" s="214">
        <v>24</v>
      </c>
      <c r="D108" s="214">
        <v>0.81</v>
      </c>
      <c r="E108" s="214">
        <v>19.440000000000001</v>
      </c>
      <c r="F108" s="214">
        <v>25.27</v>
      </c>
      <c r="G108" s="210"/>
      <c r="H108" s="210"/>
      <c r="I108" s="210"/>
    </row>
    <row r="109" spans="1:9">
      <c r="A109" s="213">
        <v>20.05</v>
      </c>
      <c r="B109" s="214" t="s">
        <v>492</v>
      </c>
      <c r="C109" s="214">
        <v>1</v>
      </c>
      <c r="D109" s="214">
        <v>11.54</v>
      </c>
      <c r="E109" s="214">
        <v>11.54</v>
      </c>
      <c r="F109" s="214">
        <v>15</v>
      </c>
      <c r="G109" s="210"/>
      <c r="H109" s="210"/>
      <c r="I109" s="210"/>
    </row>
    <row r="110" spans="1:9">
      <c r="A110" s="213">
        <v>20.05</v>
      </c>
      <c r="B110" s="214" t="s">
        <v>450</v>
      </c>
      <c r="C110" s="214">
        <v>2</v>
      </c>
      <c r="D110" s="214">
        <v>1.87</v>
      </c>
      <c r="E110" s="214">
        <v>3.74</v>
      </c>
      <c r="F110" s="214">
        <v>4.8600000000000003</v>
      </c>
      <c r="G110" s="210"/>
      <c r="H110" s="210"/>
      <c r="I110" s="210"/>
    </row>
    <row r="111" spans="1:9">
      <c r="A111" s="213">
        <v>20.05</v>
      </c>
      <c r="B111" s="214" t="s">
        <v>712</v>
      </c>
      <c r="C111" s="214">
        <v>2</v>
      </c>
      <c r="D111" s="214">
        <v>5.19</v>
      </c>
      <c r="E111" s="214">
        <v>10.37</v>
      </c>
      <c r="F111" s="214">
        <v>13.48</v>
      </c>
      <c r="G111" s="210"/>
      <c r="H111" s="210"/>
      <c r="I111" s="210"/>
    </row>
    <row r="112" spans="1:9">
      <c r="A112" s="213">
        <v>20.05</v>
      </c>
      <c r="B112" s="214" t="s">
        <v>716</v>
      </c>
      <c r="C112" s="214">
        <v>1</v>
      </c>
      <c r="D112" s="214">
        <v>10.050000000000001</v>
      </c>
      <c r="E112" s="214">
        <v>10.050000000000001</v>
      </c>
      <c r="F112" s="214">
        <v>13.07</v>
      </c>
      <c r="G112" s="210"/>
      <c r="H112" s="210"/>
      <c r="I112" s="210"/>
    </row>
    <row r="113" spans="1:9">
      <c r="A113" s="213">
        <v>20.05</v>
      </c>
      <c r="B113" s="214" t="s">
        <v>719</v>
      </c>
      <c r="C113" s="214">
        <v>1</v>
      </c>
      <c r="D113" s="214">
        <v>10.050000000000001</v>
      </c>
      <c r="E113" s="214">
        <v>10.050000000000001</v>
      </c>
      <c r="F113" s="214">
        <v>13.07</v>
      </c>
      <c r="G113" s="210"/>
      <c r="H113" s="210"/>
      <c r="I113" s="210"/>
    </row>
    <row r="114" spans="1:9">
      <c r="A114" s="213">
        <v>20.05</v>
      </c>
      <c r="B114" s="214" t="s">
        <v>718</v>
      </c>
      <c r="C114" s="214">
        <v>1</v>
      </c>
      <c r="D114" s="214">
        <v>10.050000000000001</v>
      </c>
      <c r="E114" s="214">
        <v>10.050000000000001</v>
      </c>
      <c r="F114" s="214">
        <v>13.07</v>
      </c>
      <c r="G114" s="210"/>
      <c r="H114" s="210"/>
      <c r="I114" s="210"/>
    </row>
    <row r="115" spans="1:9">
      <c r="A115" s="213">
        <v>20.05</v>
      </c>
      <c r="B115" s="214" t="s">
        <v>705</v>
      </c>
      <c r="C115" s="214">
        <v>6</v>
      </c>
      <c r="D115" s="214">
        <v>1.29</v>
      </c>
      <c r="E115" s="214">
        <v>7.74</v>
      </c>
      <c r="F115" s="214">
        <v>10.06</v>
      </c>
      <c r="G115" s="210"/>
      <c r="H115" s="210"/>
      <c r="I115" s="210"/>
    </row>
    <row r="116" spans="1:9">
      <c r="A116" s="213">
        <v>20.05</v>
      </c>
      <c r="B116" s="214" t="s">
        <v>392</v>
      </c>
      <c r="C116" s="214">
        <v>1</v>
      </c>
      <c r="D116" s="214">
        <v>5.26</v>
      </c>
      <c r="E116" s="214">
        <v>5.26</v>
      </c>
      <c r="F116" s="214">
        <v>6.84</v>
      </c>
      <c r="G116" s="210"/>
      <c r="H116" s="210"/>
      <c r="I116" s="210"/>
    </row>
    <row r="117" spans="1:9">
      <c r="A117" s="213">
        <v>20.05</v>
      </c>
      <c r="B117" s="214" t="s">
        <v>702</v>
      </c>
      <c r="C117" s="214">
        <v>2</v>
      </c>
      <c r="D117" s="214">
        <v>10.220000000000001</v>
      </c>
      <c r="E117" s="214">
        <v>20.440000000000001</v>
      </c>
      <c r="F117" s="214">
        <v>26.57</v>
      </c>
      <c r="G117" s="210"/>
      <c r="H117" s="210"/>
      <c r="I117" s="210"/>
    </row>
    <row r="118" spans="1:9">
      <c r="A118" s="213">
        <v>20.05</v>
      </c>
      <c r="B118" s="214" t="s">
        <v>695</v>
      </c>
      <c r="C118" s="214">
        <v>1</v>
      </c>
      <c r="D118" s="214">
        <v>2.4</v>
      </c>
      <c r="E118" s="214">
        <v>2.4</v>
      </c>
      <c r="F118" s="214">
        <v>3.12</v>
      </c>
      <c r="G118" s="210"/>
      <c r="H118" s="210"/>
      <c r="I118" s="210"/>
    </row>
    <row r="119" spans="1:9">
      <c r="A119" s="213">
        <v>20.05</v>
      </c>
      <c r="B119" s="214" t="s">
        <v>696</v>
      </c>
      <c r="C119" s="214">
        <v>3</v>
      </c>
      <c r="D119" s="214">
        <v>2.86</v>
      </c>
      <c r="E119" s="214">
        <v>8.58</v>
      </c>
      <c r="F119" s="214">
        <v>11.15</v>
      </c>
      <c r="G119" s="210"/>
      <c r="H119" s="210"/>
      <c r="I119" s="210"/>
    </row>
    <row r="120" spans="1:9">
      <c r="A120" s="213">
        <v>20.05</v>
      </c>
      <c r="B120" s="214" t="s">
        <v>721</v>
      </c>
      <c r="C120" s="214">
        <v>1</v>
      </c>
      <c r="D120" s="214">
        <v>8.2899999999999991</v>
      </c>
      <c r="E120" s="214">
        <v>8.2899999999999991</v>
      </c>
      <c r="F120" s="214">
        <v>10.78</v>
      </c>
      <c r="G120" s="210"/>
      <c r="H120" s="210"/>
      <c r="I120" s="210"/>
    </row>
    <row r="121" spans="1:9">
      <c r="A121" s="213">
        <v>20.05</v>
      </c>
      <c r="B121" s="214" t="s">
        <v>713</v>
      </c>
      <c r="C121" s="214">
        <v>1</v>
      </c>
      <c r="D121" s="214">
        <v>4.3899999999999997</v>
      </c>
      <c r="E121" s="214">
        <v>4.3899999999999997</v>
      </c>
      <c r="F121" s="214">
        <v>5.71</v>
      </c>
      <c r="G121" s="210"/>
      <c r="H121" s="210"/>
      <c r="I121" s="210"/>
    </row>
    <row r="122" spans="1:9">
      <c r="A122" s="213">
        <v>20.05</v>
      </c>
      <c r="B122" s="214" t="s">
        <v>271</v>
      </c>
      <c r="C122" s="214">
        <v>3</v>
      </c>
      <c r="D122" s="214">
        <v>1.69</v>
      </c>
      <c r="E122" s="214">
        <v>5.07</v>
      </c>
      <c r="F122" s="214">
        <v>6.59</v>
      </c>
      <c r="G122" s="210"/>
      <c r="H122" s="210"/>
      <c r="I122" s="210"/>
    </row>
    <row r="123" spans="1:9">
      <c r="A123" s="213">
        <v>20.05</v>
      </c>
      <c r="B123" s="214" t="s">
        <v>449</v>
      </c>
      <c r="C123" s="214">
        <v>1</v>
      </c>
      <c r="D123" s="214">
        <v>2.81</v>
      </c>
      <c r="E123" s="214">
        <v>2.81</v>
      </c>
      <c r="F123" s="214">
        <v>3.65</v>
      </c>
      <c r="G123" s="210"/>
      <c r="H123" s="210"/>
      <c r="I123" s="210"/>
    </row>
    <row r="124" spans="1:9">
      <c r="A124" s="213">
        <v>20.05</v>
      </c>
      <c r="B124" s="214" t="s">
        <v>409</v>
      </c>
      <c r="C124" s="214">
        <v>1</v>
      </c>
      <c r="D124" s="214">
        <v>4.8099999999999996</v>
      </c>
      <c r="E124" s="214">
        <v>4.8099999999999996</v>
      </c>
      <c r="F124" s="214">
        <v>6.26</v>
      </c>
      <c r="G124" s="210"/>
      <c r="H124" s="210"/>
      <c r="I124" s="210"/>
    </row>
    <row r="125" spans="1:9">
      <c r="A125" s="213">
        <v>20.05</v>
      </c>
      <c r="B125" s="214" t="s">
        <v>704</v>
      </c>
      <c r="C125" s="214">
        <v>1</v>
      </c>
      <c r="D125" s="214">
        <v>10.66</v>
      </c>
      <c r="E125" s="214">
        <v>10.66</v>
      </c>
      <c r="F125" s="214">
        <v>13.85</v>
      </c>
      <c r="G125" s="210"/>
      <c r="H125" s="210"/>
      <c r="I125" s="210"/>
    </row>
    <row r="126" spans="1:9">
      <c r="A126" s="213">
        <v>20.05</v>
      </c>
      <c r="B126" s="214" t="s">
        <v>709</v>
      </c>
      <c r="C126" s="214">
        <v>4</v>
      </c>
      <c r="D126" s="214">
        <v>2.23</v>
      </c>
      <c r="E126" s="214">
        <v>8.92</v>
      </c>
      <c r="F126" s="214">
        <v>11.6</v>
      </c>
      <c r="G126" s="210"/>
      <c r="H126" s="210"/>
      <c r="I126" s="210"/>
    </row>
    <row r="127" spans="1:9">
      <c r="A127" s="213">
        <v>20.05</v>
      </c>
      <c r="B127" s="214" t="s">
        <v>107</v>
      </c>
      <c r="C127" s="214">
        <v>3</v>
      </c>
      <c r="D127" s="214">
        <v>3.29</v>
      </c>
      <c r="E127" s="214">
        <v>9.8699999999999992</v>
      </c>
      <c r="F127" s="214">
        <v>12.83</v>
      </c>
      <c r="G127" s="210"/>
      <c r="H127" s="210"/>
      <c r="I127" s="210"/>
    </row>
    <row r="128" spans="1:9">
      <c r="A128" s="213">
        <v>20.05</v>
      </c>
      <c r="B128" s="214" t="s">
        <v>703</v>
      </c>
      <c r="C128" s="214">
        <v>1</v>
      </c>
      <c r="D128" s="214">
        <v>4.58</v>
      </c>
      <c r="E128" s="214">
        <v>4.58</v>
      </c>
      <c r="F128" s="214">
        <v>5.96</v>
      </c>
      <c r="G128" s="210"/>
      <c r="H128" s="210"/>
      <c r="I128" s="210"/>
    </row>
    <row r="129" spans="1:9">
      <c r="A129" s="213">
        <v>26.05</v>
      </c>
      <c r="B129" s="214" t="s">
        <v>639</v>
      </c>
      <c r="C129" s="214">
        <v>1</v>
      </c>
      <c r="D129" s="214">
        <v>3.95</v>
      </c>
      <c r="E129" s="214">
        <v>3.95</v>
      </c>
      <c r="F129" s="214">
        <v>5.14</v>
      </c>
      <c r="G129" s="210"/>
      <c r="H129" s="210"/>
      <c r="I129" s="210"/>
    </row>
    <row r="130" spans="1:9">
      <c r="A130" s="213">
        <v>26.05</v>
      </c>
      <c r="B130" s="214" t="s">
        <v>272</v>
      </c>
      <c r="C130" s="214">
        <v>4</v>
      </c>
      <c r="D130" s="214">
        <v>1.65</v>
      </c>
      <c r="E130" s="214">
        <v>6.58</v>
      </c>
      <c r="F130" s="214">
        <v>8.5500000000000007</v>
      </c>
      <c r="G130" s="210"/>
      <c r="H130" s="210"/>
      <c r="I130" s="210"/>
    </row>
    <row r="131" spans="1:9">
      <c r="A131" s="213">
        <v>26.05</v>
      </c>
      <c r="B131" s="214" t="s">
        <v>723</v>
      </c>
      <c r="C131" s="214">
        <v>20</v>
      </c>
      <c r="D131" s="214">
        <v>1.1399999999999999</v>
      </c>
      <c r="E131" s="214">
        <v>22.8</v>
      </c>
      <c r="F131" s="214">
        <v>29.64</v>
      </c>
      <c r="G131" s="210"/>
      <c r="H131" s="210"/>
      <c r="I131" s="210"/>
    </row>
    <row r="132" spans="1:9">
      <c r="A132" s="213">
        <v>26.05</v>
      </c>
      <c r="B132" s="214" t="s">
        <v>273</v>
      </c>
      <c r="C132" s="214">
        <v>6</v>
      </c>
      <c r="D132" s="214">
        <v>2.34</v>
      </c>
      <c r="E132" s="214">
        <v>14.04</v>
      </c>
      <c r="F132" s="214">
        <v>18.25</v>
      </c>
      <c r="G132" s="210"/>
      <c r="H132" s="210"/>
      <c r="I132" s="210"/>
    </row>
    <row r="133" spans="1:9">
      <c r="A133" s="216">
        <v>26.05</v>
      </c>
      <c r="B133" s="217" t="s">
        <v>652</v>
      </c>
      <c r="C133" s="217">
        <v>10</v>
      </c>
      <c r="D133" s="217">
        <v>0.28999999999999998</v>
      </c>
      <c r="E133" s="217">
        <v>2.9</v>
      </c>
      <c r="F133" s="217">
        <v>29</v>
      </c>
      <c r="G133" s="210"/>
      <c r="H133" s="210"/>
      <c r="I133" s="210"/>
    </row>
    <row r="134" spans="1:9">
      <c r="A134" s="213">
        <v>26.05</v>
      </c>
      <c r="B134" s="214" t="s">
        <v>648</v>
      </c>
      <c r="C134" s="214">
        <v>24</v>
      </c>
      <c r="D134" s="214">
        <v>0.81</v>
      </c>
      <c r="E134" s="214">
        <v>19.440000000000001</v>
      </c>
      <c r="F134" s="214">
        <v>25.27</v>
      </c>
      <c r="G134" s="210"/>
      <c r="H134" s="210"/>
      <c r="I134" s="210"/>
    </row>
    <row r="135" spans="1:9">
      <c r="A135" s="216">
        <v>26.05</v>
      </c>
      <c r="B135" s="217" t="s">
        <v>653</v>
      </c>
      <c r="C135" s="217">
        <v>20</v>
      </c>
      <c r="D135" s="217">
        <v>0.67</v>
      </c>
      <c r="E135" s="217">
        <v>13.4</v>
      </c>
      <c r="F135" s="217">
        <v>58</v>
      </c>
      <c r="G135" s="210"/>
      <c r="H135" s="210"/>
      <c r="I135" s="210"/>
    </row>
    <row r="136" spans="1:9">
      <c r="A136" s="213">
        <v>26.05</v>
      </c>
      <c r="B136" s="214" t="s">
        <v>486</v>
      </c>
      <c r="C136" s="214">
        <v>1</v>
      </c>
      <c r="D136" s="214">
        <v>6.75</v>
      </c>
      <c r="E136" s="214">
        <v>6.75</v>
      </c>
      <c r="F136" s="214">
        <v>8.7799999999999994</v>
      </c>
      <c r="G136" s="210"/>
      <c r="H136" s="210"/>
      <c r="I136" s="210"/>
    </row>
    <row r="137" spans="1:9">
      <c r="A137" s="213">
        <v>26.05</v>
      </c>
      <c r="B137" s="214" t="s">
        <v>450</v>
      </c>
      <c r="C137" s="214">
        <v>2</v>
      </c>
      <c r="D137" s="214">
        <v>1.87</v>
      </c>
      <c r="E137" s="214">
        <v>3.74</v>
      </c>
      <c r="F137" s="214">
        <v>4.8600000000000003</v>
      </c>
      <c r="G137" s="210"/>
      <c r="H137" s="210"/>
      <c r="I137" s="210"/>
    </row>
    <row r="138" spans="1:9">
      <c r="A138" s="213">
        <v>26.05</v>
      </c>
      <c r="B138" s="214" t="s">
        <v>712</v>
      </c>
      <c r="C138" s="214">
        <v>2</v>
      </c>
      <c r="D138" s="214">
        <v>5.19</v>
      </c>
      <c r="E138" s="214">
        <v>10.37</v>
      </c>
      <c r="F138" s="214">
        <v>13.48</v>
      </c>
      <c r="G138" s="210"/>
      <c r="H138" s="210"/>
      <c r="I138" s="210"/>
    </row>
    <row r="139" spans="1:9">
      <c r="A139" s="213">
        <v>26.05</v>
      </c>
      <c r="B139" s="214" t="s">
        <v>725</v>
      </c>
      <c r="C139" s="214">
        <v>3</v>
      </c>
      <c r="D139" s="214">
        <v>2.69</v>
      </c>
      <c r="E139" s="214">
        <v>8.07</v>
      </c>
      <c r="F139" s="214">
        <v>10.49</v>
      </c>
      <c r="G139" s="210"/>
      <c r="H139" s="210"/>
      <c r="I139" s="210"/>
    </row>
    <row r="140" spans="1:9">
      <c r="A140" s="213">
        <v>26.05</v>
      </c>
      <c r="B140" s="214" t="s">
        <v>659</v>
      </c>
      <c r="C140" s="214">
        <v>6</v>
      </c>
      <c r="D140" s="214">
        <v>3.89</v>
      </c>
      <c r="E140" s="214">
        <v>23.34</v>
      </c>
      <c r="F140" s="214">
        <v>30.34</v>
      </c>
      <c r="G140" s="210"/>
      <c r="H140" s="210"/>
      <c r="I140" s="210"/>
    </row>
    <row r="141" spans="1:9">
      <c r="A141" s="213">
        <v>26.05</v>
      </c>
      <c r="B141" s="214" t="s">
        <v>716</v>
      </c>
      <c r="C141" s="214">
        <v>1</v>
      </c>
      <c r="D141" s="214">
        <v>10.050000000000001</v>
      </c>
      <c r="E141" s="214">
        <v>10.050000000000001</v>
      </c>
      <c r="F141" s="214">
        <v>13.07</v>
      </c>
      <c r="G141" s="210"/>
      <c r="H141" s="210"/>
      <c r="I141" s="210"/>
    </row>
    <row r="142" spans="1:9">
      <c r="A142" s="213">
        <v>26.05</v>
      </c>
      <c r="B142" s="214" t="s">
        <v>719</v>
      </c>
      <c r="C142" s="214">
        <v>1</v>
      </c>
      <c r="D142" s="214">
        <v>10.050000000000001</v>
      </c>
      <c r="E142" s="214">
        <v>10.050000000000001</v>
      </c>
      <c r="F142" s="214">
        <v>13.07</v>
      </c>
      <c r="G142" s="210"/>
      <c r="H142" s="210"/>
      <c r="I142" s="210"/>
    </row>
    <row r="143" spans="1:9">
      <c r="A143" s="213">
        <v>26.05</v>
      </c>
      <c r="B143" s="214" t="s">
        <v>718</v>
      </c>
      <c r="C143" s="214">
        <v>1</v>
      </c>
      <c r="D143" s="214">
        <v>10.050000000000001</v>
      </c>
      <c r="E143" s="214">
        <v>10.050000000000001</v>
      </c>
      <c r="F143" s="214">
        <v>13.07</v>
      </c>
      <c r="G143" s="210"/>
      <c r="H143" s="210"/>
      <c r="I143" s="210"/>
    </row>
    <row r="144" spans="1:9">
      <c r="A144" s="213">
        <v>26.05</v>
      </c>
      <c r="B144" s="214" t="s">
        <v>392</v>
      </c>
      <c r="C144" s="214">
        <v>1</v>
      </c>
      <c r="D144" s="214">
        <v>5.26</v>
      </c>
      <c r="E144" s="214">
        <v>5.26</v>
      </c>
      <c r="F144" s="214">
        <v>6.84</v>
      </c>
      <c r="G144" s="210"/>
      <c r="H144" s="210"/>
      <c r="I144" s="210"/>
    </row>
    <row r="145" spans="1:9">
      <c r="A145" s="213">
        <v>26.05</v>
      </c>
      <c r="B145" s="214" t="s">
        <v>729</v>
      </c>
      <c r="C145" s="214">
        <v>1</v>
      </c>
      <c r="D145" s="214">
        <v>3.69</v>
      </c>
      <c r="E145" s="214">
        <v>3.69</v>
      </c>
      <c r="F145" s="214">
        <v>4.79</v>
      </c>
      <c r="G145" s="210"/>
      <c r="H145" s="210"/>
      <c r="I145" s="210"/>
    </row>
    <row r="146" spans="1:9">
      <c r="A146" s="213">
        <v>26.05</v>
      </c>
      <c r="B146" s="214" t="s">
        <v>722</v>
      </c>
      <c r="C146" s="214">
        <v>1</v>
      </c>
      <c r="D146" s="214">
        <v>17.36</v>
      </c>
      <c r="E146" s="214">
        <v>17.36</v>
      </c>
      <c r="F146" s="214">
        <v>22.57</v>
      </c>
      <c r="G146" s="210"/>
      <c r="H146" s="210"/>
      <c r="I146" s="210"/>
    </row>
    <row r="147" spans="1:9">
      <c r="A147" s="213">
        <v>26.05</v>
      </c>
      <c r="B147" s="214" t="s">
        <v>724</v>
      </c>
      <c r="C147" s="214">
        <v>12</v>
      </c>
      <c r="D147" s="214">
        <v>1.06</v>
      </c>
      <c r="E147" s="214">
        <v>12.72</v>
      </c>
      <c r="F147" s="214">
        <v>16.54</v>
      </c>
      <c r="G147" s="210"/>
      <c r="H147" s="210"/>
      <c r="I147" s="210"/>
    </row>
    <row r="148" spans="1:9">
      <c r="A148" s="213">
        <v>26.05</v>
      </c>
      <c r="B148" s="214" t="s">
        <v>721</v>
      </c>
      <c r="C148" s="214">
        <v>1</v>
      </c>
      <c r="D148" s="214">
        <v>8.2899999999999991</v>
      </c>
      <c r="E148" s="214">
        <v>8.2899999999999991</v>
      </c>
      <c r="F148" s="214">
        <v>10.78</v>
      </c>
      <c r="G148" s="210"/>
      <c r="H148" s="210"/>
      <c r="I148" s="210"/>
    </row>
    <row r="149" spans="1:9">
      <c r="A149" s="213">
        <v>26.05</v>
      </c>
      <c r="B149" s="214" t="s">
        <v>713</v>
      </c>
      <c r="C149" s="214">
        <v>1</v>
      </c>
      <c r="D149" s="214">
        <v>4.3899999999999997</v>
      </c>
      <c r="E149" s="214">
        <v>4.3899999999999997</v>
      </c>
      <c r="F149" s="214">
        <v>5.71</v>
      </c>
      <c r="G149" s="210"/>
      <c r="H149" s="210"/>
      <c r="I149" s="210"/>
    </row>
    <row r="150" spans="1:9">
      <c r="A150" s="213">
        <v>26.05</v>
      </c>
      <c r="B150" s="214" t="s">
        <v>271</v>
      </c>
      <c r="C150" s="214">
        <v>3</v>
      </c>
      <c r="D150" s="214">
        <v>1.69</v>
      </c>
      <c r="E150" s="214">
        <v>5.07</v>
      </c>
      <c r="F150" s="214">
        <v>6.59</v>
      </c>
      <c r="G150" s="210"/>
      <c r="H150" s="210"/>
      <c r="I150" s="210"/>
    </row>
    <row r="151" spans="1:9">
      <c r="A151" s="213">
        <v>26.05</v>
      </c>
      <c r="B151" s="214" t="s">
        <v>449</v>
      </c>
      <c r="C151" s="214">
        <v>1</v>
      </c>
      <c r="D151" s="214">
        <v>2.81</v>
      </c>
      <c r="E151" s="214">
        <v>2.81</v>
      </c>
      <c r="F151" s="214">
        <v>3.65</v>
      </c>
      <c r="G151" s="210"/>
      <c r="H151" s="210"/>
      <c r="I151" s="210"/>
    </row>
    <row r="152" spans="1:9">
      <c r="A152" s="213">
        <v>26.05</v>
      </c>
      <c r="B152" s="214" t="s">
        <v>409</v>
      </c>
      <c r="C152" s="214">
        <v>1</v>
      </c>
      <c r="D152" s="214">
        <v>4.8099999999999996</v>
      </c>
      <c r="E152" s="214">
        <v>4.8099999999999996</v>
      </c>
      <c r="F152" s="214">
        <v>6.26</v>
      </c>
      <c r="G152" s="210"/>
      <c r="H152" s="210"/>
      <c r="I152" s="210"/>
    </row>
    <row r="153" spans="1:9">
      <c r="A153" s="213">
        <v>26.05</v>
      </c>
      <c r="B153" s="214" t="s">
        <v>727</v>
      </c>
      <c r="C153" s="214">
        <v>1</v>
      </c>
      <c r="D153" s="214">
        <v>4.5</v>
      </c>
      <c r="E153" s="214">
        <v>4.5</v>
      </c>
      <c r="F153" s="214">
        <v>5.85</v>
      </c>
      <c r="G153" s="210"/>
      <c r="H153" s="210"/>
      <c r="I153" s="210"/>
    </row>
    <row r="154" spans="1:9">
      <c r="A154" s="213">
        <v>26.05</v>
      </c>
      <c r="B154" s="214" t="s">
        <v>715</v>
      </c>
      <c r="C154" s="214">
        <v>24</v>
      </c>
      <c r="D154" s="214">
        <v>0.77</v>
      </c>
      <c r="E154" s="214">
        <v>18.48</v>
      </c>
      <c r="F154" s="214">
        <v>24.02</v>
      </c>
      <c r="G154" s="210"/>
      <c r="H154" s="210"/>
      <c r="I154" s="210"/>
    </row>
    <row r="155" spans="1:9">
      <c r="A155" s="213">
        <v>26.05</v>
      </c>
      <c r="B155" s="214" t="s">
        <v>107</v>
      </c>
      <c r="C155" s="214">
        <v>3</v>
      </c>
      <c r="D155" s="214">
        <v>3.29</v>
      </c>
      <c r="E155" s="214">
        <v>9.8699999999999992</v>
      </c>
      <c r="F155" s="214">
        <v>12.83</v>
      </c>
      <c r="G155" s="210"/>
      <c r="H155" s="210"/>
      <c r="I155" s="210"/>
    </row>
    <row r="156" spans="1:9">
      <c r="A156" s="213">
        <v>27.05</v>
      </c>
      <c r="B156" s="214" t="s">
        <v>607</v>
      </c>
      <c r="C156" s="214">
        <v>6</v>
      </c>
      <c r="D156" s="214">
        <v>2.4500000000000002</v>
      </c>
      <c r="E156" s="214">
        <v>14.7</v>
      </c>
      <c r="F156" s="214">
        <v>19.11</v>
      </c>
      <c r="G156" s="210"/>
      <c r="H156" s="210"/>
      <c r="I156" s="210"/>
    </row>
    <row r="157" spans="1:9">
      <c r="A157" s="213">
        <v>27.05</v>
      </c>
      <c r="B157" s="214" t="s">
        <v>272</v>
      </c>
      <c r="C157" s="214">
        <v>5</v>
      </c>
      <c r="D157" s="214">
        <v>1.64</v>
      </c>
      <c r="E157" s="214">
        <v>8.2100000000000009</v>
      </c>
      <c r="F157" s="214">
        <v>10.67</v>
      </c>
      <c r="G157" s="210"/>
      <c r="H157" s="210"/>
      <c r="I157" s="210"/>
    </row>
    <row r="158" spans="1:9">
      <c r="A158" s="213">
        <v>27.05</v>
      </c>
      <c r="B158" s="214" t="s">
        <v>273</v>
      </c>
      <c r="C158" s="214">
        <v>2</v>
      </c>
      <c r="D158" s="214">
        <v>2.34</v>
      </c>
      <c r="E158" s="214">
        <v>4.68</v>
      </c>
      <c r="F158" s="214">
        <v>6.08</v>
      </c>
      <c r="G158" s="210"/>
      <c r="H158" s="210"/>
      <c r="I158" s="210"/>
    </row>
    <row r="159" spans="1:9">
      <c r="A159" s="216">
        <v>27.05</v>
      </c>
      <c r="B159" s="217" t="s">
        <v>652</v>
      </c>
      <c r="C159" s="217">
        <v>10</v>
      </c>
      <c r="D159" s="217">
        <v>0.28999999999999998</v>
      </c>
      <c r="E159" s="217">
        <v>2.9</v>
      </c>
      <c r="F159" s="217">
        <v>29</v>
      </c>
      <c r="G159" s="210"/>
      <c r="H159" s="210"/>
      <c r="I159" s="210"/>
    </row>
    <row r="160" spans="1:9">
      <c r="A160" s="216">
        <v>27.05</v>
      </c>
      <c r="B160" s="217" t="s">
        <v>737</v>
      </c>
      <c r="C160" s="217">
        <v>15</v>
      </c>
      <c r="D160" s="217">
        <v>0.48</v>
      </c>
      <c r="E160" s="217">
        <v>7.22</v>
      </c>
      <c r="F160" s="217">
        <v>43.5</v>
      </c>
      <c r="G160" s="210"/>
      <c r="H160" s="210"/>
      <c r="I160" s="210"/>
    </row>
    <row r="161" spans="1:9">
      <c r="A161" s="213">
        <v>27.05</v>
      </c>
      <c r="B161" s="214" t="s">
        <v>670</v>
      </c>
      <c r="C161" s="214">
        <v>3</v>
      </c>
      <c r="D161" s="214">
        <v>1.59</v>
      </c>
      <c r="E161" s="214">
        <v>4.7699999999999996</v>
      </c>
      <c r="F161" s="214">
        <v>6.2</v>
      </c>
      <c r="G161" s="210"/>
      <c r="H161" s="210"/>
      <c r="I161" s="210"/>
    </row>
    <row r="162" spans="1:9">
      <c r="A162" s="216">
        <v>27.05</v>
      </c>
      <c r="B162" s="217" t="s">
        <v>653</v>
      </c>
      <c r="C162" s="217">
        <v>10</v>
      </c>
      <c r="D162" s="217">
        <v>0.67</v>
      </c>
      <c r="E162" s="217">
        <v>6.7</v>
      </c>
      <c r="F162" s="217">
        <v>29</v>
      </c>
      <c r="G162" s="210"/>
      <c r="H162" s="210"/>
      <c r="I162" s="210"/>
    </row>
    <row r="163" spans="1:9">
      <c r="A163" s="213">
        <v>27.05</v>
      </c>
      <c r="B163" s="214" t="s">
        <v>733</v>
      </c>
      <c r="C163" s="214">
        <v>72</v>
      </c>
      <c r="D163" s="214">
        <v>1.79</v>
      </c>
      <c r="E163" s="214">
        <v>128.88</v>
      </c>
      <c r="F163" s="214">
        <v>167.54</v>
      </c>
      <c r="G163" s="210"/>
      <c r="H163" s="210"/>
      <c r="I163" s="210"/>
    </row>
    <row r="164" spans="1:9">
      <c r="A164" s="213">
        <v>27.05</v>
      </c>
      <c r="B164" s="214" t="s">
        <v>702</v>
      </c>
      <c r="C164" s="214">
        <v>1</v>
      </c>
      <c r="D164" s="214">
        <v>10.220000000000001</v>
      </c>
      <c r="E164" s="214">
        <v>10.220000000000001</v>
      </c>
      <c r="F164" s="214">
        <v>13.29</v>
      </c>
      <c r="G164" s="210"/>
      <c r="H164" s="210"/>
      <c r="I164" s="210"/>
    </row>
    <row r="165" spans="1:9">
      <c r="A165" s="213">
        <v>27.05</v>
      </c>
      <c r="B165" s="214" t="s">
        <v>735</v>
      </c>
      <c r="C165" s="214">
        <v>10</v>
      </c>
      <c r="D165" s="214">
        <v>1.1200000000000001</v>
      </c>
      <c r="E165" s="214">
        <v>11.24</v>
      </c>
      <c r="F165" s="214">
        <v>14.61</v>
      </c>
      <c r="G165" s="210"/>
      <c r="H165" s="210"/>
      <c r="I165" s="210"/>
    </row>
    <row r="166" spans="1:9">
      <c r="A166" s="213">
        <v>27.05</v>
      </c>
      <c r="B166" s="214" t="s">
        <v>734</v>
      </c>
      <c r="C166" s="214">
        <v>2</v>
      </c>
      <c r="D166" s="214">
        <v>3.41</v>
      </c>
      <c r="E166" s="214">
        <v>6.82</v>
      </c>
      <c r="F166" s="214">
        <v>8.8699999999999992</v>
      </c>
      <c r="G166" s="210"/>
      <c r="H166" s="210"/>
      <c r="I166" s="210"/>
    </row>
    <row r="167" spans="1:9">
      <c r="A167" s="213">
        <v>27.05</v>
      </c>
      <c r="B167" s="214" t="s">
        <v>404</v>
      </c>
      <c r="C167" s="214">
        <v>6</v>
      </c>
      <c r="D167" s="214">
        <v>1.63</v>
      </c>
      <c r="E167" s="214">
        <v>9.7799999999999994</v>
      </c>
      <c r="F167" s="214">
        <v>12.71</v>
      </c>
      <c r="G167" s="210"/>
      <c r="H167" s="210"/>
      <c r="I167" s="210"/>
    </row>
    <row r="168" spans="1:9">
      <c r="A168" s="213">
        <v>27.05</v>
      </c>
      <c r="B168" s="214" t="s">
        <v>107</v>
      </c>
      <c r="C168" s="214">
        <v>1</v>
      </c>
      <c r="D168" s="214">
        <v>6.58</v>
      </c>
      <c r="E168" s="214">
        <v>6.58</v>
      </c>
      <c r="F168" s="214">
        <v>8.5500000000000007</v>
      </c>
      <c r="G168" s="210"/>
      <c r="H168" s="210"/>
      <c r="I168" s="210"/>
    </row>
    <row r="169" spans="1:9">
      <c r="A169" s="218" t="s">
        <v>497</v>
      </c>
      <c r="B169" s="219" t="s">
        <v>744</v>
      </c>
      <c r="C169" s="219" t="s">
        <v>744</v>
      </c>
      <c r="D169" s="219" t="s">
        <v>744</v>
      </c>
      <c r="E169" s="220">
        <v>1650.92</v>
      </c>
      <c r="F169" s="220">
        <v>2620.69</v>
      </c>
      <c r="G169" s="210"/>
      <c r="H169" s="210"/>
      <c r="I169" s="210"/>
    </row>
    <row r="170" spans="1:9">
      <c r="A170" s="210"/>
      <c r="B170" s="210"/>
      <c r="C170" s="210"/>
      <c r="D170" s="210"/>
      <c r="E170" s="210"/>
      <c r="F170" s="210"/>
      <c r="G170" s="210"/>
      <c r="H170" s="210"/>
      <c r="I170" s="210"/>
    </row>
    <row r="171" spans="1:9">
      <c r="A171" s="210"/>
      <c r="B171" s="210"/>
      <c r="C171" s="210"/>
      <c r="D171" s="210"/>
      <c r="E171" s="210"/>
      <c r="F171" s="210"/>
      <c r="G171" s="210"/>
      <c r="H171" s="210"/>
      <c r="I171" s="210"/>
    </row>
    <row r="172" spans="1:9">
      <c r="A172" s="208" t="s">
        <v>276</v>
      </c>
      <c r="B172" s="209" t="s">
        <v>100</v>
      </c>
      <c r="C172" s="209" t="s">
        <v>446</v>
      </c>
      <c r="D172" s="209" t="s">
        <v>278</v>
      </c>
      <c r="E172" s="209" t="s">
        <v>745</v>
      </c>
      <c r="F172" s="210"/>
      <c r="G172" s="210"/>
      <c r="H172" s="210"/>
      <c r="I172" s="210"/>
    </row>
    <row r="173" spans="1:9">
      <c r="A173" s="213">
        <v>4.05</v>
      </c>
      <c r="B173" s="214">
        <v>158.19999999999999</v>
      </c>
      <c r="C173" s="214">
        <v>271.45999999999998</v>
      </c>
      <c r="D173" s="214">
        <v>49</v>
      </c>
      <c r="E173" s="214">
        <v>320.45999999999998</v>
      </c>
      <c r="F173" s="210"/>
      <c r="G173" s="210"/>
      <c r="H173" s="210"/>
      <c r="I173" s="210"/>
    </row>
    <row r="174" spans="1:9">
      <c r="A174" s="213">
        <v>6.05</v>
      </c>
      <c r="B174" s="214">
        <v>265.33999999999997</v>
      </c>
      <c r="C174" s="214">
        <v>410.75</v>
      </c>
      <c r="D174" s="214">
        <v>49</v>
      </c>
      <c r="E174" s="214">
        <v>459.75</v>
      </c>
      <c r="F174" s="210"/>
      <c r="G174" s="210"/>
      <c r="H174" s="210"/>
      <c r="I174" s="210"/>
    </row>
    <row r="175" spans="1:9">
      <c r="A175" s="213">
        <v>11.05</v>
      </c>
      <c r="B175" s="214">
        <v>272.52999999999997</v>
      </c>
      <c r="C175" s="214">
        <v>420.1</v>
      </c>
      <c r="D175" s="214">
        <v>49</v>
      </c>
      <c r="E175" s="214">
        <v>469.1</v>
      </c>
      <c r="F175" s="210"/>
      <c r="G175" s="210"/>
      <c r="H175" s="210"/>
      <c r="I175" s="210"/>
    </row>
    <row r="176" spans="1:9">
      <c r="A176" s="213">
        <v>18.05</v>
      </c>
      <c r="B176" s="214">
        <v>178.34</v>
      </c>
      <c r="C176" s="214">
        <v>297.64999999999998</v>
      </c>
      <c r="D176" s="214">
        <v>49</v>
      </c>
      <c r="E176" s="214">
        <v>346.65</v>
      </c>
      <c r="F176" s="210"/>
      <c r="G176" s="210"/>
      <c r="H176" s="210"/>
      <c r="I176" s="210"/>
    </row>
    <row r="177" spans="1:9">
      <c r="A177" s="213">
        <v>20.05</v>
      </c>
      <c r="B177" s="214">
        <v>291.04000000000002</v>
      </c>
      <c r="C177" s="214">
        <v>444.16</v>
      </c>
      <c r="D177" s="214">
        <v>49</v>
      </c>
      <c r="E177" s="214">
        <v>493.16</v>
      </c>
      <c r="F177" s="210"/>
      <c r="G177" s="210"/>
      <c r="H177" s="210"/>
      <c r="I177" s="210"/>
    </row>
    <row r="178" spans="1:9">
      <c r="A178" s="213">
        <v>26.05</v>
      </c>
      <c r="B178" s="214">
        <v>262.77999999999997</v>
      </c>
      <c r="C178" s="214">
        <v>407.42</v>
      </c>
      <c r="D178" s="214">
        <v>49</v>
      </c>
      <c r="E178" s="214">
        <v>456.42</v>
      </c>
      <c r="F178" s="210"/>
      <c r="G178" s="210"/>
      <c r="H178" s="210"/>
      <c r="I178" s="210"/>
    </row>
    <row r="179" spans="1:9">
      <c r="A179" s="213">
        <v>27.05</v>
      </c>
      <c r="B179" s="214">
        <v>222.7</v>
      </c>
      <c r="C179" s="214">
        <v>369.14</v>
      </c>
      <c r="D179" s="214">
        <v>49</v>
      </c>
      <c r="E179" s="214">
        <v>418.14</v>
      </c>
      <c r="F179" s="210"/>
      <c r="G179" s="210"/>
      <c r="H179" s="210"/>
      <c r="I179" s="210"/>
    </row>
    <row r="180" spans="1:9">
      <c r="A180" s="218" t="s">
        <v>497</v>
      </c>
      <c r="B180" s="220">
        <v>1650.92</v>
      </c>
      <c r="C180" s="220">
        <v>2620.69</v>
      </c>
      <c r="D180" s="220">
        <v>343</v>
      </c>
      <c r="E180" s="220">
        <v>2963.69</v>
      </c>
      <c r="F180" s="210"/>
      <c r="G180" s="210"/>
      <c r="H180" s="210"/>
      <c r="I180" s="210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93CE-B4B0-4A18-9EA3-25BE2541B235}">
  <dimension ref="A1:H31"/>
  <sheetViews>
    <sheetView topLeftCell="B1" workbookViewId="0">
      <selection activeCell="Q23" sqref="Q23"/>
    </sheetView>
  </sheetViews>
  <sheetFormatPr defaultRowHeight="15"/>
  <cols>
    <col min="1" max="1" width="35.85546875" customWidth="1"/>
    <col min="4" max="4" width="9.140625" style="234"/>
    <col min="5" max="5" width="32.42578125" customWidth="1"/>
    <col min="6" max="6" width="8.5703125" customWidth="1"/>
    <col min="7" max="8" width="16.140625" customWidth="1"/>
  </cols>
  <sheetData>
    <row r="1" spans="1:8" ht="18.75">
      <c r="A1" s="231" t="s">
        <v>746</v>
      </c>
      <c r="B1" s="231"/>
      <c r="C1" s="231"/>
      <c r="E1" s="221" t="s">
        <v>747</v>
      </c>
    </row>
    <row r="2" spans="1:8">
      <c r="A2" s="231" t="s">
        <v>748</v>
      </c>
      <c r="B2" s="231"/>
      <c r="C2" s="231"/>
    </row>
    <row r="3" spans="1:8">
      <c r="A3" s="231" t="s">
        <v>749</v>
      </c>
      <c r="B3" s="231"/>
      <c r="C3" s="231"/>
      <c r="E3" s="222" t="s">
        <v>444</v>
      </c>
      <c r="F3" s="223" t="s">
        <v>750</v>
      </c>
      <c r="G3" s="223" t="s">
        <v>751</v>
      </c>
      <c r="H3" s="223" t="s">
        <v>752</v>
      </c>
    </row>
    <row r="4" spans="1:8">
      <c r="A4" s="231" t="s">
        <v>753</v>
      </c>
      <c r="B4" s="231"/>
      <c r="C4" s="231"/>
      <c r="E4" s="200" t="s">
        <v>746</v>
      </c>
      <c r="F4" s="229">
        <v>24</v>
      </c>
      <c r="G4" s="224">
        <v>1.84</v>
      </c>
      <c r="H4" s="224">
        <f>F4*G4</f>
        <v>44.160000000000004</v>
      </c>
    </row>
    <row r="5" spans="1:8">
      <c r="A5" s="231" t="s">
        <v>754</v>
      </c>
      <c r="B5" s="231"/>
      <c r="C5" s="231"/>
      <c r="E5" s="200" t="s">
        <v>748</v>
      </c>
      <c r="F5" s="229">
        <v>6</v>
      </c>
      <c r="G5" s="224">
        <v>1.89</v>
      </c>
      <c r="H5" s="224">
        <f>F5*G5</f>
        <v>11.34</v>
      </c>
    </row>
    <row r="6" spans="1:8">
      <c r="A6" s="231" t="s">
        <v>755</v>
      </c>
      <c r="B6" s="231"/>
      <c r="C6" s="231"/>
      <c r="E6" s="200" t="s">
        <v>749</v>
      </c>
      <c r="F6" s="229">
        <v>1</v>
      </c>
      <c r="G6" s="224">
        <v>41.69</v>
      </c>
      <c r="H6" s="224">
        <f>F6*G6</f>
        <v>41.69</v>
      </c>
    </row>
    <row r="7" spans="1:8">
      <c r="A7" s="231" t="s">
        <v>756</v>
      </c>
      <c r="B7" s="231"/>
      <c r="C7" s="231"/>
      <c r="E7" s="200" t="s">
        <v>753</v>
      </c>
      <c r="F7" s="229">
        <v>1</v>
      </c>
      <c r="G7" s="224">
        <v>11.55</v>
      </c>
      <c r="H7" s="224">
        <f>F7*G7</f>
        <v>11.55</v>
      </c>
    </row>
    <row r="8" spans="1:8">
      <c r="A8" s="231" t="s">
        <v>757</v>
      </c>
      <c r="B8" s="231"/>
      <c r="C8" s="231"/>
      <c r="E8" s="200" t="s">
        <v>754</v>
      </c>
      <c r="F8" s="229">
        <v>1</v>
      </c>
      <c r="G8" s="224">
        <v>6.31</v>
      </c>
      <c r="H8" s="224">
        <f>F8*G8</f>
        <v>6.31</v>
      </c>
    </row>
    <row r="9" spans="1:8">
      <c r="A9" s="231" t="s">
        <v>758</v>
      </c>
      <c r="B9" s="231"/>
      <c r="C9" s="231"/>
      <c r="E9" s="200" t="s">
        <v>755</v>
      </c>
      <c r="F9" s="229">
        <v>5</v>
      </c>
      <c r="G9" s="224">
        <v>2.2899859999999999</v>
      </c>
      <c r="H9" s="224">
        <f>F9*G9</f>
        <v>11.449929999999998</v>
      </c>
    </row>
    <row r="10" spans="1:8">
      <c r="A10" s="231" t="s">
        <v>759</v>
      </c>
      <c r="B10" s="231"/>
      <c r="C10" s="231"/>
      <c r="E10" s="200" t="s">
        <v>756</v>
      </c>
      <c r="F10" s="229">
        <v>16</v>
      </c>
      <c r="G10" s="224">
        <v>0.99</v>
      </c>
      <c r="H10" s="224">
        <f>F10*G10</f>
        <v>15.84</v>
      </c>
    </row>
    <row r="11" spans="1:8">
      <c r="A11" s="231" t="s">
        <v>760</v>
      </c>
      <c r="B11" s="231"/>
      <c r="C11" s="231"/>
      <c r="E11" s="200" t="s">
        <v>757</v>
      </c>
      <c r="F11" s="229">
        <v>8</v>
      </c>
      <c r="G11" s="224">
        <v>0.7</v>
      </c>
      <c r="H11" s="224">
        <f>F11*G11</f>
        <v>5.6</v>
      </c>
    </row>
    <row r="12" spans="1:8">
      <c r="A12" s="231" t="s">
        <v>761</v>
      </c>
      <c r="B12" s="231"/>
      <c r="C12" s="231"/>
      <c r="E12" s="200" t="s">
        <v>758</v>
      </c>
      <c r="F12" s="229">
        <v>10</v>
      </c>
      <c r="G12" s="224">
        <v>0.75866699999999998</v>
      </c>
      <c r="H12" s="224">
        <f>F12*G12</f>
        <v>7.5866699999999998</v>
      </c>
    </row>
    <row r="13" spans="1:8">
      <c r="A13" s="231" t="s">
        <v>762</v>
      </c>
      <c r="B13" s="231"/>
      <c r="C13" s="231"/>
      <c r="E13" s="200" t="s">
        <v>759</v>
      </c>
      <c r="F13" s="229">
        <v>24</v>
      </c>
      <c r="G13" s="224">
        <v>0.81</v>
      </c>
      <c r="H13" s="224">
        <f>F13*G13</f>
        <v>19.440000000000001</v>
      </c>
    </row>
    <row r="14" spans="1:8">
      <c r="A14" s="232" t="s">
        <v>735</v>
      </c>
      <c r="B14" s="232">
        <v>10</v>
      </c>
      <c r="C14" s="232" t="s">
        <v>188</v>
      </c>
      <c r="E14" s="200" t="s">
        <v>760</v>
      </c>
      <c r="F14" s="229">
        <v>8</v>
      </c>
      <c r="G14" s="224">
        <v>0.97002200000000005</v>
      </c>
      <c r="H14" s="224">
        <f>F14*G14</f>
        <v>7.7601760000000004</v>
      </c>
    </row>
    <row r="15" spans="1:8">
      <c r="A15" s="232" t="s">
        <v>219</v>
      </c>
      <c r="B15" s="232">
        <v>10</v>
      </c>
      <c r="C15" s="232" t="s">
        <v>188</v>
      </c>
      <c r="E15" s="200" t="s">
        <v>761</v>
      </c>
      <c r="F15" s="229">
        <v>10</v>
      </c>
      <c r="G15" s="224">
        <v>0.79</v>
      </c>
      <c r="H15" s="224">
        <f>F15*G15</f>
        <v>7.9</v>
      </c>
    </row>
    <row r="16" spans="1:8">
      <c r="A16" s="232" t="s">
        <v>273</v>
      </c>
      <c r="B16" s="232">
        <v>2</v>
      </c>
      <c r="C16" s="232" t="s">
        <v>151</v>
      </c>
      <c r="E16" s="200" t="s">
        <v>762</v>
      </c>
      <c r="F16" s="229">
        <v>12</v>
      </c>
      <c r="G16" s="224">
        <v>1.31</v>
      </c>
      <c r="H16" s="224">
        <f>F16*G16</f>
        <v>15.72</v>
      </c>
    </row>
    <row r="17" spans="1:8">
      <c r="A17" s="232" t="s">
        <v>736</v>
      </c>
      <c r="B17" s="232">
        <v>10</v>
      </c>
      <c r="C17" s="232" t="s">
        <v>188</v>
      </c>
      <c r="E17" s="200" t="s">
        <v>735</v>
      </c>
      <c r="F17" s="229">
        <f>B14</f>
        <v>10</v>
      </c>
      <c r="G17" s="224">
        <v>1.1200000000000001</v>
      </c>
      <c r="H17" s="224">
        <f>F17*G17</f>
        <v>11.200000000000001</v>
      </c>
    </row>
    <row r="18" spans="1:8">
      <c r="A18" s="232" t="s">
        <v>737</v>
      </c>
      <c r="B18" s="232">
        <v>15</v>
      </c>
      <c r="C18" s="232" t="s">
        <v>188</v>
      </c>
      <c r="E18" s="200" t="s">
        <v>219</v>
      </c>
      <c r="F18" s="229">
        <f>B15</f>
        <v>10</v>
      </c>
      <c r="G18" s="224">
        <v>0.34</v>
      </c>
      <c r="H18" s="224">
        <f>F18*G18</f>
        <v>3.4000000000000004</v>
      </c>
    </row>
    <row r="19" spans="1:8">
      <c r="A19" s="231"/>
      <c r="B19" s="231"/>
      <c r="C19" s="231"/>
      <c r="E19" s="200" t="s">
        <v>273</v>
      </c>
      <c r="F19" s="229">
        <f>B16</f>
        <v>2</v>
      </c>
      <c r="G19" s="224">
        <v>2.34</v>
      </c>
      <c r="H19" s="224">
        <f>F19*G19</f>
        <v>4.68</v>
      </c>
    </row>
    <row r="20" spans="1:8">
      <c r="A20" s="231" t="s">
        <v>763</v>
      </c>
      <c r="B20" s="231"/>
      <c r="C20" s="231"/>
      <c r="E20" s="200" t="s">
        <v>736</v>
      </c>
      <c r="F20" s="229">
        <f>B17</f>
        <v>10</v>
      </c>
      <c r="G20" s="224">
        <v>0.69</v>
      </c>
      <c r="H20" s="224">
        <f>F20*G20</f>
        <v>6.8999999999999995</v>
      </c>
    </row>
    <row r="21" spans="1:8">
      <c r="E21" s="200" t="s">
        <v>737</v>
      </c>
      <c r="F21" s="229">
        <f>B18</f>
        <v>15</v>
      </c>
      <c r="G21" s="224">
        <v>0.67</v>
      </c>
      <c r="H21" s="224">
        <f>F21*G21</f>
        <v>10.050000000000001</v>
      </c>
    </row>
    <row r="22" spans="1:8">
      <c r="E22" s="200" t="s">
        <v>764</v>
      </c>
      <c r="F22" s="229">
        <v>1.5</v>
      </c>
      <c r="G22" s="224">
        <v>5.2610000000000001</v>
      </c>
      <c r="H22" s="224">
        <f>F22*G22</f>
        <v>7.8915000000000006</v>
      </c>
    </row>
    <row r="23" spans="1:8">
      <c r="E23" s="200" t="s">
        <v>765</v>
      </c>
      <c r="F23" s="229">
        <v>2</v>
      </c>
      <c r="G23" s="224">
        <v>5.1859999999999999</v>
      </c>
      <c r="H23" s="224">
        <f>F23*G23</f>
        <v>10.372</v>
      </c>
    </row>
    <row r="24" spans="1:8">
      <c r="E24" s="200" t="s">
        <v>766</v>
      </c>
      <c r="F24" s="229">
        <v>3</v>
      </c>
      <c r="G24" s="224">
        <v>1.6890000000000001</v>
      </c>
      <c r="H24" s="224">
        <f>F24*G24</f>
        <v>5.0670000000000002</v>
      </c>
    </row>
    <row r="25" spans="1:8">
      <c r="E25" s="200" t="s">
        <v>767</v>
      </c>
      <c r="F25" s="229">
        <v>1</v>
      </c>
      <c r="G25" s="224">
        <v>3.95</v>
      </c>
      <c r="H25" s="224">
        <f>F25*G25</f>
        <v>3.95</v>
      </c>
    </row>
    <row r="26" spans="1:8">
      <c r="E26" s="200" t="s">
        <v>768</v>
      </c>
      <c r="F26" s="229">
        <v>2</v>
      </c>
      <c r="G26" s="224">
        <v>4.3899999999999997</v>
      </c>
      <c r="H26" s="224">
        <f>F26*G26</f>
        <v>8.7799999999999994</v>
      </c>
    </row>
    <row r="27" spans="1:8">
      <c r="E27" s="200" t="s">
        <v>769</v>
      </c>
      <c r="F27" s="229">
        <v>8</v>
      </c>
      <c r="G27" s="224">
        <v>1.645</v>
      </c>
      <c r="H27" s="224">
        <f>F27*G27</f>
        <v>13.16</v>
      </c>
    </row>
    <row r="28" spans="1:8">
      <c r="E28" s="200" t="s">
        <v>770</v>
      </c>
      <c r="F28" s="229">
        <v>2</v>
      </c>
      <c r="G28" s="224">
        <v>2.8079999999999998</v>
      </c>
      <c r="H28" s="224">
        <f>F28*G28</f>
        <v>5.6159999999999997</v>
      </c>
    </row>
    <row r="29" spans="1:8">
      <c r="E29" s="200" t="s">
        <v>771</v>
      </c>
      <c r="F29" s="229">
        <v>2</v>
      </c>
      <c r="G29" s="224">
        <v>4.8140000000000001</v>
      </c>
      <c r="H29" s="224">
        <f>F29*G29</f>
        <v>9.6280000000000001</v>
      </c>
    </row>
    <row r="30" spans="1:8">
      <c r="E30" s="227" t="s">
        <v>772</v>
      </c>
      <c r="F30" s="230">
        <v>3</v>
      </c>
      <c r="G30" s="228">
        <v>3.29</v>
      </c>
      <c r="H30" s="228">
        <f>F30*G30</f>
        <v>9.870000000000001</v>
      </c>
    </row>
    <row r="31" spans="1:8">
      <c r="E31" s="225" t="s">
        <v>497</v>
      </c>
      <c r="F31" s="200"/>
      <c r="G31" s="224"/>
      <c r="H31" s="226">
        <f>SUM(H4:H30)</f>
        <v>316.91127599999999</v>
      </c>
    </row>
  </sheetData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97B4-C061-47EE-A21B-D9092030F626}">
  <dimension ref="A1"/>
  <sheetViews>
    <sheetView workbookViewId="0">
      <selection activeCell="X28" sqref="X28"/>
    </sheetView>
  </sheetViews>
  <sheetFormatPr defaultRowHeight="1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8867-8F25-4508-A906-6E4E153FAB12}">
  <dimension ref="A1:H35"/>
  <sheetViews>
    <sheetView workbookViewId="0">
      <selection activeCell="A27" sqref="A27:A31"/>
    </sheetView>
  </sheetViews>
  <sheetFormatPr defaultRowHeight="15"/>
  <cols>
    <col min="1" max="1" width="44.28515625" customWidth="1"/>
    <col min="5" max="5" width="34.28515625" customWidth="1"/>
    <col min="6" max="6" width="8.5703125" customWidth="1"/>
    <col min="7" max="8" width="16.140625" customWidth="1"/>
  </cols>
  <sheetData>
    <row r="1" spans="1:8" ht="18.75">
      <c r="A1" t="s">
        <v>773</v>
      </c>
      <c r="E1" s="221" t="s">
        <v>774</v>
      </c>
      <c r="F1" t="s">
        <v>775</v>
      </c>
    </row>
    <row r="2" spans="1:8">
      <c r="A2" t="s">
        <v>776</v>
      </c>
    </row>
    <row r="3" spans="1:8">
      <c r="A3" t="s">
        <v>777</v>
      </c>
      <c r="E3" s="222" t="s">
        <v>444</v>
      </c>
      <c r="F3" s="223" t="s">
        <v>750</v>
      </c>
      <c r="G3" s="223" t="s">
        <v>751</v>
      </c>
      <c r="H3" s="223" t="s">
        <v>752</v>
      </c>
    </row>
    <row r="4" spans="1:8">
      <c r="A4" t="s">
        <v>778</v>
      </c>
      <c r="E4" s="200" t="str">
        <f>A1</f>
        <v>m&amp;m blue x1 package</v>
      </c>
      <c r="F4" s="229">
        <v>1</v>
      </c>
      <c r="G4" s="224">
        <v>0.52</v>
      </c>
      <c r="H4" s="224">
        <f>F4*G4</f>
        <v>0.52</v>
      </c>
    </row>
    <row r="5" spans="1:8">
      <c r="A5" t="s">
        <v>779</v>
      </c>
      <c r="E5" s="200" t="str">
        <f>A2</f>
        <v>snickers x1 package</v>
      </c>
      <c r="F5" s="229">
        <v>1</v>
      </c>
      <c r="G5" s="224">
        <v>1.61</v>
      </c>
      <c r="H5" s="224">
        <f>F5*G5</f>
        <v>1.61</v>
      </c>
    </row>
    <row r="6" spans="1:8">
      <c r="A6" t="s">
        <v>780</v>
      </c>
      <c r="E6" s="200" t="str">
        <f>A3</f>
        <v>Manner x1package</v>
      </c>
      <c r="F6" s="229">
        <v>1</v>
      </c>
      <c r="G6" s="224">
        <v>1.06</v>
      </c>
      <c r="H6" s="224">
        <f>F6*G6</f>
        <v>1.06</v>
      </c>
    </row>
    <row r="7" spans="1:8">
      <c r="A7" t="s">
        <v>781</v>
      </c>
      <c r="E7" s="200" t="str">
        <f>A4</f>
        <v>Honey x1</v>
      </c>
      <c r="F7" s="229">
        <v>1</v>
      </c>
      <c r="G7" s="224">
        <v>3.6368179999999999</v>
      </c>
      <c r="H7" s="224">
        <f>F7*G7</f>
        <v>3.6368179999999999</v>
      </c>
    </row>
    <row r="8" spans="1:8">
      <c r="A8" t="s">
        <v>782</v>
      </c>
      <c r="E8" s="200" t="str">
        <f>A5</f>
        <v>Charities 4 boxx6packagex20g</v>
      </c>
      <c r="F8" s="229">
        <v>4</v>
      </c>
      <c r="G8" s="224">
        <v>1.5899559999999999</v>
      </c>
      <c r="H8" s="224">
        <f>F8*G8</f>
        <v>6.3598239999999997</v>
      </c>
    </row>
    <row r="9" spans="1:8">
      <c r="A9" t="s">
        <v>783</v>
      </c>
      <c r="E9" s="200" t="str">
        <f>A6</f>
        <v>Fruit dry x1kg</v>
      </c>
      <c r="F9" s="229">
        <v>1</v>
      </c>
      <c r="G9" s="224">
        <v>11.54</v>
      </c>
      <c r="H9" s="224">
        <f>F9*G9</f>
        <v>11.54</v>
      </c>
    </row>
    <row r="10" spans="1:8">
      <c r="A10" t="s">
        <v>784</v>
      </c>
      <c r="E10" s="200" t="str">
        <f>A7</f>
        <v>Mueslix2kg</v>
      </c>
      <c r="F10" s="229">
        <v>2</v>
      </c>
      <c r="G10" s="224">
        <v>5.1416250000000003</v>
      </c>
      <c r="H10" s="224">
        <f>F10*G10</f>
        <v>10.283250000000001</v>
      </c>
    </row>
    <row r="11" spans="1:8">
      <c r="A11" t="s">
        <v>785</v>
      </c>
      <c r="E11" s="200" t="str">
        <f>A8</f>
        <v>Beef jerry 10gx30</v>
      </c>
      <c r="F11" s="229">
        <v>30</v>
      </c>
      <c r="G11" s="224">
        <v>1.1399999999999999</v>
      </c>
      <c r="H11" s="224">
        <f>F11*G11</f>
        <v>34.199999999999996</v>
      </c>
    </row>
    <row r="12" spans="1:8">
      <c r="A12" t="s">
        <v>786</v>
      </c>
      <c r="E12" s="200" t="str">
        <f>A9</f>
        <v>Be-kind dark choco protein x3 package</v>
      </c>
      <c r="F12" s="229">
        <v>3</v>
      </c>
      <c r="G12" s="224">
        <v>1.49</v>
      </c>
      <c r="H12" s="224">
        <f>F12*G12</f>
        <v>4.47</v>
      </c>
    </row>
    <row r="13" spans="1:8">
      <c r="A13" t="s">
        <v>787</v>
      </c>
      <c r="E13" s="200" t="str">
        <f>A10</f>
        <v>Milkx24 3.5%</v>
      </c>
      <c r="F13" s="229">
        <v>24</v>
      </c>
      <c r="G13" s="224">
        <v>1.84</v>
      </c>
      <c r="H13" s="224">
        <f>F13*G13</f>
        <v>44.160000000000004</v>
      </c>
    </row>
    <row r="14" spans="1:8">
      <c r="A14" t="s">
        <v>788</v>
      </c>
      <c r="E14" s="200" t="str">
        <f>A11</f>
        <v>Milk x12 1,5%</v>
      </c>
      <c r="F14" s="229">
        <v>12</v>
      </c>
      <c r="G14" s="224">
        <v>1.6121589999999999</v>
      </c>
      <c r="H14" s="224">
        <f>F14*G14</f>
        <v>19.345907999999998</v>
      </c>
    </row>
    <row r="15" spans="1:8">
      <c r="A15" s="233" t="s">
        <v>789</v>
      </c>
      <c r="E15" s="200" t="str">
        <f>A12</f>
        <v>Oat milk x9</v>
      </c>
      <c r="F15" s="229">
        <v>9</v>
      </c>
      <c r="G15" s="224">
        <v>1.89</v>
      </c>
      <c r="H15" s="224">
        <f>F15*G15</f>
        <v>17.009999999999998</v>
      </c>
    </row>
    <row r="16" spans="1:8">
      <c r="A16" t="s">
        <v>790</v>
      </c>
      <c r="E16" s="200" t="str">
        <f>A13</f>
        <v>Soya milch x 4</v>
      </c>
      <c r="F16" s="229">
        <v>4</v>
      </c>
      <c r="G16" s="224">
        <v>1.89</v>
      </c>
      <c r="H16" s="224">
        <f>F16*G16</f>
        <v>7.56</v>
      </c>
    </row>
    <row r="17" spans="1:8">
      <c r="A17" t="s">
        <v>791</v>
      </c>
      <c r="E17" s="200" t="str">
        <f>A14</f>
        <v>Milk coco x3</v>
      </c>
      <c r="F17" s="229">
        <v>3</v>
      </c>
      <c r="G17" s="224">
        <v>3.0054599999999998</v>
      </c>
      <c r="H17" s="224">
        <f>F17*G17</f>
        <v>9.0163799999999998</v>
      </c>
    </row>
    <row r="18" spans="1:8">
      <c r="A18" t="s">
        <v>792</v>
      </c>
      <c r="E18" s="200" t="str">
        <f>A15</f>
        <v>+ pastry mix</v>
      </c>
      <c r="F18" s="229">
        <v>1</v>
      </c>
      <c r="G18" s="224">
        <v>41.69</v>
      </c>
      <c r="H18" s="224">
        <f>F18*G18</f>
        <v>41.69</v>
      </c>
    </row>
    <row r="19" spans="1:8">
      <c r="A19" t="s">
        <v>793</v>
      </c>
      <c r="E19" s="200" t="str">
        <f>A16</f>
        <v>all jogurt received last  34 400gm</v>
      </c>
      <c r="F19" s="229">
        <v>34</v>
      </c>
      <c r="G19" s="224">
        <v>1.29</v>
      </c>
      <c r="H19" s="224">
        <f>F19*G19</f>
        <v>43.86</v>
      </c>
    </row>
    <row r="20" spans="1:8">
      <c r="A20" t="s">
        <v>794</v>
      </c>
      <c r="E20" s="200" t="str">
        <f>A17</f>
        <v>banana 8kg</v>
      </c>
      <c r="F20" s="229">
        <v>8</v>
      </c>
      <c r="G20" s="224">
        <v>1.645</v>
      </c>
      <c r="H20" s="224">
        <f>F20*G20</f>
        <v>13.16</v>
      </c>
    </row>
    <row r="21" spans="1:8">
      <c r="A21" t="s">
        <v>795</v>
      </c>
      <c r="E21" s="200" t="str">
        <f>A18</f>
        <v>papryka 0.5 kg</v>
      </c>
      <c r="F21" s="229">
        <v>0.5</v>
      </c>
      <c r="G21" s="224">
        <v>1.5</v>
      </c>
      <c r="H21" s="224">
        <f>F21*G21</f>
        <v>0.75</v>
      </c>
    </row>
    <row r="22" spans="1:8">
      <c r="A22" t="s">
        <v>796</v>
      </c>
      <c r="E22" s="200" t="str">
        <f>A19</f>
        <v>lemon 1 kg</v>
      </c>
      <c r="F22" s="229">
        <v>1</v>
      </c>
      <c r="G22" s="224">
        <v>5.2610000000000001</v>
      </c>
      <c r="H22" s="224">
        <f>F22*G22</f>
        <v>5.2610000000000001</v>
      </c>
    </row>
    <row r="23" spans="1:8">
      <c r="A23" t="s">
        <v>797</v>
      </c>
      <c r="E23" s="200" t="str">
        <f>A20</f>
        <v>orange 3 kg</v>
      </c>
      <c r="F23" s="229">
        <v>3</v>
      </c>
      <c r="G23" s="224">
        <v>1.6890000000000001</v>
      </c>
      <c r="H23" s="224">
        <f>F23*G23</f>
        <v>5.0670000000000002</v>
      </c>
    </row>
    <row r="24" spans="1:8">
      <c r="A24" t="s">
        <v>798</v>
      </c>
      <c r="E24" s="200" t="str">
        <f>A21</f>
        <v>grape 1 kg</v>
      </c>
      <c r="F24" s="229">
        <v>1</v>
      </c>
      <c r="G24" s="224">
        <v>2.4090910000000001</v>
      </c>
      <c r="H24" s="224">
        <f>F24*G24*2</f>
        <v>4.8181820000000002</v>
      </c>
    </row>
    <row r="25" spans="1:8">
      <c r="A25" t="s">
        <v>799</v>
      </c>
      <c r="E25" s="200" t="str">
        <f>A22</f>
        <v>apple 4 kg</v>
      </c>
      <c r="F25" s="229">
        <v>4</v>
      </c>
      <c r="G25" s="224">
        <v>1.0908059999999999</v>
      </c>
      <c r="H25" s="224">
        <f>F25*G25</f>
        <v>4.3632239999999998</v>
      </c>
    </row>
    <row r="26" spans="1:8">
      <c r="A26" t="s">
        <v>800</v>
      </c>
      <c r="E26" s="200" t="str">
        <f>A23</f>
        <v>strawberry 2.5 kg</v>
      </c>
      <c r="F26" s="229">
        <v>2.5</v>
      </c>
      <c r="G26" s="224">
        <v>2.8302930000000002</v>
      </c>
      <c r="H26" s="224">
        <f>F26*G26*2</f>
        <v>14.151465000000002</v>
      </c>
    </row>
    <row r="27" spans="1:8">
      <c r="A27" s="200" t="s">
        <v>801</v>
      </c>
      <c r="E27" s="200" t="str">
        <f>A24</f>
        <v>plume 1 kg</v>
      </c>
      <c r="F27" s="229">
        <v>1</v>
      </c>
      <c r="G27" s="224">
        <v>2.3333330000000001</v>
      </c>
      <c r="H27" s="224">
        <f>F27*G27*2</f>
        <v>4.6666660000000002</v>
      </c>
    </row>
    <row r="28" spans="1:8">
      <c r="A28" s="200" t="s">
        <v>802</v>
      </c>
      <c r="E28" s="200" t="str">
        <f>A25</f>
        <v>Appricot 1 kg</v>
      </c>
      <c r="F28" s="229">
        <v>1</v>
      </c>
      <c r="G28" s="224">
        <v>3.95</v>
      </c>
      <c r="H28" s="224">
        <f>F28*G28</f>
        <v>3.95</v>
      </c>
    </row>
    <row r="29" spans="1:8">
      <c r="A29" s="200" t="s">
        <v>803</v>
      </c>
      <c r="E29" s="200" t="str">
        <f>A26</f>
        <v>cherry tomato 0.5kg</v>
      </c>
      <c r="F29" s="229">
        <v>0.5</v>
      </c>
      <c r="G29" s="224">
        <v>4.6911310000000004</v>
      </c>
      <c r="H29" s="224">
        <f>F29*G29</f>
        <v>2.3455655000000002</v>
      </c>
    </row>
    <row r="30" spans="1:8">
      <c r="A30" s="200" t="s">
        <v>804</v>
      </c>
      <c r="E30" s="200" t="str">
        <f>A27</f>
        <v>Muffins   10 piece</v>
      </c>
      <c r="F30" s="229">
        <v>10</v>
      </c>
      <c r="G30" s="224">
        <v>1.1200000000000001</v>
      </c>
      <c r="H30" s="224">
        <f>F30*G30</f>
        <v>11.200000000000001</v>
      </c>
    </row>
    <row r="31" spans="1:8">
      <c r="A31" s="227" t="s">
        <v>805</v>
      </c>
      <c r="E31" s="200" t="str">
        <f>A28</f>
        <v>Bretzel piece</v>
      </c>
      <c r="F31" s="229">
        <v>10</v>
      </c>
      <c r="G31" s="224">
        <v>0.34</v>
      </c>
      <c r="H31" s="224">
        <f>F31*G31</f>
        <v>3.4000000000000004</v>
      </c>
    </row>
    <row r="32" spans="1:8">
      <c r="E32" s="200" t="str">
        <f>A29</f>
        <v>Bread 4 piece</v>
      </c>
      <c r="F32" s="229">
        <v>4</v>
      </c>
      <c r="G32" s="224">
        <v>2.34</v>
      </c>
      <c r="H32" s="224">
        <f>F32*G32</f>
        <v>9.36</v>
      </c>
    </row>
    <row r="33" spans="5:8">
      <c r="E33" s="200" t="str">
        <f>A30</f>
        <v>Croissant Flavor      10. piece</v>
      </c>
      <c r="F33" s="229">
        <v>10</v>
      </c>
      <c r="G33" s="224">
        <v>0.69</v>
      </c>
      <c r="H33" s="224">
        <f>F33*G33</f>
        <v>6.8999999999999995</v>
      </c>
    </row>
    <row r="34" spans="5:8">
      <c r="E34" s="227" t="str">
        <f>A31</f>
        <v>Butter Croissant     15. piece</v>
      </c>
      <c r="F34" s="230">
        <v>15</v>
      </c>
      <c r="G34" s="228">
        <v>0.67</v>
      </c>
      <c r="H34" s="228">
        <f>F34*G34</f>
        <v>10.050000000000001</v>
      </c>
    </row>
    <row r="35" spans="5:8">
      <c r="E35" s="225" t="s">
        <v>497</v>
      </c>
      <c r="F35" s="200"/>
      <c r="G35" s="224"/>
      <c r="H35" s="226">
        <f>SUM(H4:H34)</f>
        <v>355.76528250000001</v>
      </c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049E-AED3-4029-BCF4-F11E1654B45A}">
  <dimension ref="A1:H39"/>
  <sheetViews>
    <sheetView topLeftCell="C19" workbookViewId="0">
      <selection activeCell="E1" sqref="E1"/>
    </sheetView>
  </sheetViews>
  <sheetFormatPr defaultRowHeight="15"/>
  <cols>
    <col min="4" max="4" width="19.85546875" customWidth="1"/>
    <col min="5" max="5" width="41.85546875" customWidth="1"/>
    <col min="6" max="6" width="10.42578125" customWidth="1"/>
    <col min="7" max="8" width="17.140625" customWidth="1"/>
  </cols>
  <sheetData>
    <row r="1" spans="1:8">
      <c r="A1" s="235" t="s">
        <v>806</v>
      </c>
      <c r="B1" s="235"/>
      <c r="C1" s="235"/>
      <c r="D1" s="235"/>
      <c r="E1" s="235"/>
      <c r="F1" s="235"/>
      <c r="G1" s="235"/>
      <c r="H1" s="235"/>
    </row>
    <row r="2" spans="1:8">
      <c r="A2" s="235" t="s">
        <v>807</v>
      </c>
      <c r="B2" s="235"/>
      <c r="C2" s="235"/>
      <c r="D2" s="235"/>
      <c r="E2" s="235"/>
      <c r="F2" s="235"/>
      <c r="G2" s="235"/>
      <c r="H2" s="235"/>
    </row>
    <row r="3" spans="1:8">
      <c r="A3" s="235" t="s">
        <v>808</v>
      </c>
      <c r="B3" s="235"/>
      <c r="C3" s="235"/>
      <c r="D3" s="235"/>
      <c r="E3" s="240" t="s">
        <v>809</v>
      </c>
      <c r="F3" s="241" t="s">
        <v>810</v>
      </c>
      <c r="G3" s="241" t="s">
        <v>423</v>
      </c>
      <c r="H3" s="241" t="s">
        <v>100</v>
      </c>
    </row>
    <row r="4" spans="1:8">
      <c r="A4" s="235" t="s">
        <v>811</v>
      </c>
      <c r="B4" s="235"/>
      <c r="C4" s="235"/>
      <c r="D4" s="235"/>
      <c r="E4" s="203" t="str">
        <f>A1</f>
        <v>Beef jerky x 30</v>
      </c>
      <c r="F4" s="236">
        <v>30</v>
      </c>
      <c r="G4" s="204">
        <v>1.1399999999999999</v>
      </c>
      <c r="H4" s="204">
        <f>F4*G4</f>
        <v>34.199999999999996</v>
      </c>
    </row>
    <row r="5" spans="1:8">
      <c r="A5" s="235" t="s">
        <v>812</v>
      </c>
      <c r="B5" s="235"/>
      <c r="C5" s="235"/>
      <c r="D5" s="235"/>
      <c r="E5" s="203" t="str">
        <f>A2</f>
        <v>Marx1package</v>
      </c>
      <c r="F5" s="236">
        <v>1</v>
      </c>
      <c r="G5" s="204">
        <v>0.5</v>
      </c>
      <c r="H5" s="204">
        <f>F5*G5</f>
        <v>0.5</v>
      </c>
    </row>
    <row r="6" spans="1:8">
      <c r="A6" s="235" t="s">
        <v>813</v>
      </c>
      <c r="B6" s="235"/>
      <c r="C6" s="235"/>
      <c r="D6" s="235"/>
      <c r="E6" s="203" t="str">
        <f>A3</f>
        <v>Twix x1 package</v>
      </c>
      <c r="F6" s="236">
        <v>1</v>
      </c>
      <c r="G6" s="204">
        <v>0.5</v>
      </c>
      <c r="H6" s="204">
        <f>F6*G6</f>
        <v>0.5</v>
      </c>
    </row>
    <row r="7" spans="1:8">
      <c r="A7" s="235" t="s">
        <v>814</v>
      </c>
      <c r="B7" s="235"/>
      <c r="C7" s="235"/>
      <c r="D7" s="235"/>
      <c r="E7" s="203" t="str">
        <f>A4</f>
        <v>Snikers x1 package</v>
      </c>
      <c r="F7" s="236">
        <v>1</v>
      </c>
      <c r="G7" s="204">
        <v>1.61</v>
      </c>
      <c r="H7" s="204">
        <f>F7*G7</f>
        <v>1.61</v>
      </c>
    </row>
    <row r="8" spans="1:8">
      <c r="A8" s="235" t="s">
        <v>815</v>
      </c>
      <c r="B8" s="235"/>
      <c r="C8" s="235"/>
      <c r="D8" s="235"/>
      <c r="E8" s="203" t="str">
        <f>A5</f>
        <v>Brezel 10x2 grosse ( 1 package)</v>
      </c>
      <c r="F8" s="236">
        <v>1</v>
      </c>
      <c r="G8" s="204">
        <v>6.31</v>
      </c>
      <c r="H8" s="204">
        <f>F8*G8</f>
        <v>6.31</v>
      </c>
    </row>
    <row r="9" spans="1:8">
      <c r="A9" s="235" t="s">
        <v>816</v>
      </c>
      <c r="B9" s="235"/>
      <c r="C9" s="235"/>
      <c r="D9" s="235"/>
      <c r="E9" s="203" t="str">
        <f>A6</f>
        <v>Merci petits chocolate collection 1kgx1pack</v>
      </c>
      <c r="F9" s="236">
        <v>1</v>
      </c>
      <c r="G9" s="237">
        <v>16.670000000000002</v>
      </c>
      <c r="H9" s="204">
        <f>F9*G9</f>
        <v>16.670000000000002</v>
      </c>
    </row>
    <row r="10" spans="1:8">
      <c r="A10" s="235" t="s">
        <v>817</v>
      </c>
      <c r="B10" s="235"/>
      <c r="C10" s="235"/>
      <c r="D10" s="235"/>
      <c r="E10" s="203" t="str">
        <f>A7</f>
        <v>Corny x12 packages</v>
      </c>
      <c r="F10" s="236">
        <v>12</v>
      </c>
      <c r="G10" s="204">
        <v>2.29</v>
      </c>
      <c r="H10" s="204">
        <f>F10*G10</f>
        <v>27.48</v>
      </c>
    </row>
    <row r="11" spans="1:8">
      <c r="A11" s="235" t="s">
        <v>818</v>
      </c>
      <c r="B11" s="235"/>
      <c r="C11" s="235"/>
      <c r="D11" s="235"/>
      <c r="E11" s="203" t="str">
        <f>A8</f>
        <v>Chips finelife x 4 (150g)</v>
      </c>
      <c r="F11" s="236">
        <v>4</v>
      </c>
      <c r="G11" s="237">
        <v>0.99</v>
      </c>
      <c r="H11" s="204">
        <f>F11*G11</f>
        <v>3.96</v>
      </c>
    </row>
    <row r="12" spans="1:8">
      <c r="A12" s="235" t="s">
        <v>819</v>
      </c>
      <c r="B12" s="235"/>
      <c r="C12" s="235"/>
      <c r="D12" s="235"/>
      <c r="E12" s="203" t="str">
        <f>A9</f>
        <v>Peanuts x1kg</v>
      </c>
      <c r="F12" s="236">
        <v>1</v>
      </c>
      <c r="G12" s="204">
        <v>4.3099999999999996</v>
      </c>
      <c r="H12" s="204">
        <f>F12*G12</f>
        <v>4.3099999999999996</v>
      </c>
    </row>
    <row r="13" spans="1:8">
      <c r="A13" s="235" t="s">
        <v>820</v>
      </c>
      <c r="B13" s="235"/>
      <c r="C13" s="235"/>
      <c r="D13" s="235"/>
      <c r="E13" s="203" t="str">
        <f>A10</f>
        <v>Granola x1kg</v>
      </c>
      <c r="F13" s="236">
        <v>1</v>
      </c>
      <c r="G13" s="204">
        <v>12.47</v>
      </c>
      <c r="H13" s="204">
        <f>F13*G13</f>
        <v>12.47</v>
      </c>
    </row>
    <row r="14" spans="1:8">
      <c r="A14" s="235" t="s">
        <v>821</v>
      </c>
      <c r="B14" s="235"/>
      <c r="C14" s="235"/>
      <c r="D14" s="235"/>
      <c r="E14" s="203" t="str">
        <f>A11</f>
        <v>Honey x1kg</v>
      </c>
      <c r="F14" s="236">
        <v>1</v>
      </c>
      <c r="G14" s="204">
        <v>7.1609999999999996</v>
      </c>
      <c r="H14" s="204">
        <f>F14*G14</f>
        <v>7.1609999999999996</v>
      </c>
    </row>
    <row r="15" spans="1:8">
      <c r="A15" s="235" t="s">
        <v>822</v>
      </c>
      <c r="B15" s="235"/>
      <c r="C15" s="235"/>
      <c r="D15" s="235"/>
      <c r="E15" s="203" t="str">
        <f>A12</f>
        <v>Milk x36</v>
      </c>
      <c r="F15" s="236">
        <v>36</v>
      </c>
      <c r="G15" s="204">
        <v>1.84</v>
      </c>
      <c r="H15" s="204">
        <f>F15*G15</f>
        <v>66.240000000000009</v>
      </c>
    </row>
    <row r="16" spans="1:8">
      <c r="A16" s="235" t="s">
        <v>823</v>
      </c>
      <c r="B16" s="235"/>
      <c r="C16" s="235"/>
      <c r="D16" s="235"/>
      <c r="E16" s="203" t="str">
        <f>A13</f>
        <v>Oat milk x 13</v>
      </c>
      <c r="F16" s="236">
        <v>13</v>
      </c>
      <c r="G16" s="204">
        <v>1.4437</v>
      </c>
      <c r="H16" s="204">
        <f>F16*G16</f>
        <v>18.7681</v>
      </c>
    </row>
    <row r="17" spans="1:8">
      <c r="A17" s="235" t="s">
        <v>824</v>
      </c>
      <c r="B17" s="235"/>
      <c r="C17" s="235"/>
      <c r="D17" s="235"/>
      <c r="E17" s="203" t="str">
        <f>A14</f>
        <v>Fanta  24x0.2l</v>
      </c>
      <c r="F17" s="236">
        <v>24</v>
      </c>
      <c r="G17" s="204">
        <v>0.75870000000000004</v>
      </c>
      <c r="H17" s="204">
        <f>F17*G17</f>
        <v>18.2088</v>
      </c>
    </row>
    <row r="18" spans="1:8">
      <c r="A18" s="235" t="s">
        <v>825</v>
      </c>
      <c r="B18" s="235"/>
      <c r="C18" s="235"/>
      <c r="D18" s="235"/>
      <c r="E18" s="203" t="str">
        <f>A15</f>
        <v>Sprites 24x0.33l</v>
      </c>
      <c r="F18" s="236">
        <v>24</v>
      </c>
      <c r="G18" s="204">
        <v>0.7</v>
      </c>
      <c r="H18" s="204">
        <f>F18*G18</f>
        <v>16.799999999999997</v>
      </c>
    </row>
    <row r="19" spans="1:8">
      <c r="A19" s="235" t="s">
        <v>826</v>
      </c>
      <c r="B19" s="235"/>
      <c r="C19" s="235"/>
      <c r="D19" s="235"/>
      <c r="E19" s="203" t="str">
        <f>A16</f>
        <v>coca Cola x12</v>
      </c>
      <c r="F19" s="236">
        <v>12</v>
      </c>
      <c r="G19" s="204">
        <v>0.81</v>
      </c>
      <c r="H19" s="204">
        <f>F19*G19</f>
        <v>9.7200000000000006</v>
      </c>
    </row>
    <row r="20" spans="1:8">
      <c r="A20" s="235" t="s">
        <v>827</v>
      </c>
      <c r="B20" s="235"/>
      <c r="C20" s="235"/>
      <c r="D20" s="235"/>
      <c r="E20" s="203" t="str">
        <f>A17</f>
        <v>cocacola light x12 bottle</v>
      </c>
      <c r="F20" s="236">
        <v>12</v>
      </c>
      <c r="G20" s="204">
        <v>0.81</v>
      </c>
      <c r="H20" s="204">
        <f>F20*G20</f>
        <v>9.7200000000000006</v>
      </c>
    </row>
    <row r="21" spans="1:8">
      <c r="A21" s="235" t="s">
        <v>828</v>
      </c>
      <c r="B21" s="235"/>
      <c r="C21" s="235"/>
      <c r="D21" s="235"/>
      <c r="E21" s="203" t="str">
        <f>A18</f>
        <v>Kombucha x1</v>
      </c>
      <c r="F21" s="236">
        <v>1</v>
      </c>
      <c r="G21" s="204">
        <v>1.31</v>
      </c>
      <c r="H21" s="204">
        <f>F21*G21</f>
        <v>1.31</v>
      </c>
    </row>
    <row r="22" spans="1:8">
      <c r="A22" s="235" t="s">
        <v>803</v>
      </c>
      <c r="B22" s="235"/>
      <c r="C22" s="235"/>
      <c r="D22" s="235"/>
      <c r="E22" s="203" t="str">
        <f>A19</f>
        <v>Fruits ( I attached photo)</v>
      </c>
      <c r="F22" s="236">
        <v>1</v>
      </c>
      <c r="G22" s="237"/>
      <c r="H22" s="204">
        <f>F22*G22</f>
        <v>0</v>
      </c>
    </row>
    <row r="23" spans="1:8">
      <c r="A23" s="235" t="s">
        <v>829</v>
      </c>
      <c r="B23" s="235"/>
      <c r="C23" s="235"/>
      <c r="D23" s="235"/>
      <c r="E23" s="203" t="str">
        <f>A20</f>
        <v>Muffins 10 piece</v>
      </c>
      <c r="F23" s="236">
        <v>10</v>
      </c>
      <c r="G23" s="204">
        <v>1.1200000000000001</v>
      </c>
      <c r="H23" s="204">
        <f>F23*G23</f>
        <v>11.200000000000001</v>
      </c>
    </row>
    <row r="24" spans="1:8">
      <c r="A24" s="235" t="s">
        <v>830</v>
      </c>
      <c r="B24" s="235"/>
      <c r="C24" s="235"/>
      <c r="D24" s="235"/>
      <c r="E24" s="203" t="str">
        <f>A21</f>
        <v>Bretzel 10 piece</v>
      </c>
      <c r="F24" s="236">
        <v>10</v>
      </c>
      <c r="G24" s="204">
        <v>0.34</v>
      </c>
      <c r="H24" s="204">
        <f>F24*G24</f>
        <v>3.4000000000000004</v>
      </c>
    </row>
    <row r="25" spans="1:8">
      <c r="A25" s="235" t="s">
        <v>791</v>
      </c>
      <c r="B25" s="235"/>
      <c r="C25" s="235"/>
      <c r="D25" s="235"/>
      <c r="E25" s="203" t="str">
        <f>A22</f>
        <v>Bread 4 piece</v>
      </c>
      <c r="F25" s="236">
        <v>4</v>
      </c>
      <c r="G25" s="204">
        <v>2.34</v>
      </c>
      <c r="H25" s="204">
        <f>F25*G25</f>
        <v>9.36</v>
      </c>
    </row>
    <row r="26" spans="1:8">
      <c r="A26" s="235" t="s">
        <v>831</v>
      </c>
      <c r="B26" s="235"/>
      <c r="C26" s="235"/>
      <c r="D26" s="235"/>
      <c r="E26" s="203" t="str">
        <f>A23</f>
        <v>Croissant  Flavor  10 piece</v>
      </c>
      <c r="F26" s="236">
        <v>10</v>
      </c>
      <c r="G26" s="204">
        <v>0.69</v>
      </c>
      <c r="H26" s="204">
        <f>F26*G26</f>
        <v>6.8999999999999995</v>
      </c>
    </row>
    <row r="27" spans="1:8">
      <c r="A27" s="235" t="s">
        <v>832</v>
      </c>
      <c r="B27" s="235"/>
      <c r="C27" s="235"/>
      <c r="D27" s="235"/>
      <c r="E27" s="203" t="str">
        <f>A24</f>
        <v>Butter Croissant 15 piece</v>
      </c>
      <c r="F27" s="236">
        <v>15</v>
      </c>
      <c r="G27" s="204">
        <v>0.67</v>
      </c>
      <c r="H27" s="204">
        <f>F27*G27</f>
        <v>10.050000000000001</v>
      </c>
    </row>
    <row r="28" spans="1:8">
      <c r="A28" s="235" t="s">
        <v>794</v>
      </c>
      <c r="B28" s="235"/>
      <c r="C28" s="235"/>
      <c r="D28" s="235"/>
      <c r="E28" s="203" t="str">
        <f>A25</f>
        <v>banana 8kg</v>
      </c>
      <c r="F28" s="236">
        <v>8</v>
      </c>
      <c r="G28" s="204">
        <v>1.645</v>
      </c>
      <c r="H28" s="204">
        <f>F28*G28</f>
        <v>13.16</v>
      </c>
    </row>
    <row r="29" spans="1:8">
      <c r="A29" s="235" t="s">
        <v>833</v>
      </c>
      <c r="B29" s="235"/>
      <c r="C29" s="235"/>
      <c r="D29" s="235"/>
      <c r="E29" s="203" t="str">
        <f>A26</f>
        <v>paprika mix 0.5kg</v>
      </c>
      <c r="F29" s="236">
        <v>0.5</v>
      </c>
      <c r="G29" s="204">
        <v>4.34</v>
      </c>
      <c r="H29" s="204">
        <f>F29*G29</f>
        <v>2.17</v>
      </c>
    </row>
    <row r="30" spans="1:8">
      <c r="A30" s="235" t="s">
        <v>834</v>
      </c>
      <c r="B30" s="235"/>
      <c r="C30" s="235"/>
      <c r="D30" s="235"/>
      <c r="E30" s="203" t="str">
        <f>A27</f>
        <v>lemon 1.5 kg</v>
      </c>
      <c r="F30" s="236">
        <v>1.5</v>
      </c>
      <c r="G30" s="204">
        <v>5.2610000000000001</v>
      </c>
      <c r="H30" s="204">
        <f>F30*G30</f>
        <v>7.8915000000000006</v>
      </c>
    </row>
    <row r="31" spans="1:8">
      <c r="A31" s="235" t="s">
        <v>835</v>
      </c>
      <c r="B31" s="235"/>
      <c r="C31" s="235"/>
      <c r="D31" s="235"/>
      <c r="E31" s="203" t="str">
        <f>A28</f>
        <v>orange 3 kg</v>
      </c>
      <c r="F31" s="236">
        <v>3</v>
      </c>
      <c r="G31" s="204">
        <v>1.587</v>
      </c>
      <c r="H31" s="204">
        <f>F31*G31</f>
        <v>4.7610000000000001</v>
      </c>
    </row>
    <row r="32" spans="1:8">
      <c r="A32" s="235" t="s">
        <v>836</v>
      </c>
      <c r="B32" s="235"/>
      <c r="C32" s="235"/>
      <c r="D32" s="235"/>
      <c r="E32" s="203" t="str">
        <f>A29</f>
        <v>grape red 2kg</v>
      </c>
      <c r="F32" s="236">
        <v>2</v>
      </c>
      <c r="G32" s="204">
        <v>3.8250000000000002</v>
      </c>
      <c r="H32" s="204">
        <f>F32*G32</f>
        <v>7.65</v>
      </c>
    </row>
    <row r="33" spans="1:8">
      <c r="A33" s="235" t="s">
        <v>799</v>
      </c>
      <c r="B33" s="235"/>
      <c r="C33" s="235"/>
      <c r="D33" s="235"/>
      <c r="E33" s="203" t="str">
        <f>A30</f>
        <v>apple 1.5 kg</v>
      </c>
      <c r="F33" s="236">
        <v>1.5</v>
      </c>
      <c r="G33" s="204">
        <v>1.0907</v>
      </c>
      <c r="H33" s="204">
        <f>F33*G33</f>
        <v>1.63605</v>
      </c>
    </row>
    <row r="34" spans="1:8">
      <c r="A34" s="235" t="s">
        <v>837</v>
      </c>
      <c r="B34" s="235"/>
      <c r="C34" s="235"/>
      <c r="D34" s="235"/>
      <c r="E34" s="203" t="str">
        <f>A31</f>
        <v>strawberry 3x500gm</v>
      </c>
      <c r="F34" s="236">
        <v>3</v>
      </c>
      <c r="G34" s="204">
        <v>3.5448</v>
      </c>
      <c r="H34" s="204">
        <f>F34*G34</f>
        <v>10.634399999999999</v>
      </c>
    </row>
    <row r="35" spans="1:8">
      <c r="A35" s="235" t="s">
        <v>768</v>
      </c>
      <c r="B35" s="235"/>
      <c r="C35" s="235"/>
      <c r="D35" s="235"/>
      <c r="E35" s="203" t="str">
        <f>A32</f>
        <v>plume 2 kg</v>
      </c>
      <c r="F35" s="236">
        <v>2</v>
      </c>
      <c r="G35" s="204">
        <v>4.6666999999999996</v>
      </c>
      <c r="H35" s="204">
        <f>F35*G35</f>
        <v>9.3333999999999993</v>
      </c>
    </row>
    <row r="36" spans="1:8">
      <c r="A36" s="235"/>
      <c r="B36" s="235"/>
      <c r="C36" s="235"/>
      <c r="D36" s="235"/>
      <c r="E36" s="203" t="str">
        <f>A33</f>
        <v>Appricot 1 kg</v>
      </c>
      <c r="F36" s="236">
        <v>1</v>
      </c>
      <c r="G36" s="204">
        <v>3.95</v>
      </c>
      <c r="H36" s="204">
        <f>F36*G36</f>
        <v>3.95</v>
      </c>
    </row>
    <row r="37" spans="1:8">
      <c r="A37" s="235"/>
      <c r="B37" s="235"/>
      <c r="C37" s="235"/>
      <c r="D37" s="235"/>
      <c r="E37" s="203" t="str">
        <f>A34</f>
        <v>pear 2kg</v>
      </c>
      <c r="F37" s="236">
        <v>2</v>
      </c>
      <c r="G37" s="204">
        <v>2.57</v>
      </c>
      <c r="H37" s="204">
        <f>F37*G37</f>
        <v>5.14</v>
      </c>
    </row>
    <row r="38" spans="1:8">
      <c r="A38" s="235"/>
      <c r="B38" s="235"/>
      <c r="C38" s="235"/>
      <c r="D38" s="235"/>
      <c r="E38" s="203" t="str">
        <f>A35</f>
        <v>Nectarine 2kg</v>
      </c>
      <c r="F38" s="236">
        <v>2</v>
      </c>
      <c r="G38" s="204">
        <v>4.3899999999999997</v>
      </c>
      <c r="H38" s="204">
        <f>F38*G38</f>
        <v>8.7799999999999994</v>
      </c>
    </row>
    <row r="39" spans="1:8">
      <c r="A39" s="235"/>
      <c r="B39" s="235"/>
      <c r="C39" s="235"/>
      <c r="D39" s="235"/>
      <c r="E39" s="242" t="s">
        <v>497</v>
      </c>
      <c r="F39" s="240"/>
      <c r="G39" s="243"/>
      <c r="H39" s="244">
        <f>SUM(H4:H38)</f>
        <v>371.95424999999994</v>
      </c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0D1D-C817-4D41-B1A7-B0D07F2400B9}">
  <dimension ref="A1:H21"/>
  <sheetViews>
    <sheetView workbookViewId="0">
      <selection activeCell="L13" sqref="L13"/>
    </sheetView>
  </sheetViews>
  <sheetFormatPr defaultRowHeight="15"/>
  <cols>
    <col min="5" max="5" width="41.85546875" customWidth="1"/>
    <col min="6" max="6" width="10.42578125" customWidth="1"/>
    <col min="7" max="8" width="17.140625" customWidth="1"/>
  </cols>
  <sheetData>
    <row r="1" spans="1:8" ht="18.75">
      <c r="A1" s="235" t="s">
        <v>838</v>
      </c>
      <c r="B1" s="235"/>
      <c r="C1" s="235"/>
      <c r="D1" s="235"/>
      <c r="E1" s="245" t="s">
        <v>839</v>
      </c>
      <c r="F1" s="235" t="s">
        <v>775</v>
      </c>
      <c r="G1" s="235"/>
      <c r="H1" s="235"/>
    </row>
    <row r="2" spans="1:8">
      <c r="A2" s="235" t="s">
        <v>840</v>
      </c>
      <c r="B2" s="235"/>
      <c r="C2" s="235"/>
      <c r="D2" s="235"/>
      <c r="E2" s="235"/>
      <c r="F2" s="235"/>
      <c r="G2" s="235"/>
      <c r="H2" s="235"/>
    </row>
    <row r="3" spans="1:8">
      <c r="A3" s="235" t="s">
        <v>841</v>
      </c>
      <c r="B3" s="235"/>
      <c r="C3" s="235"/>
      <c r="D3" s="235"/>
      <c r="E3" s="246" t="s">
        <v>809</v>
      </c>
      <c r="F3" s="207" t="s">
        <v>750</v>
      </c>
      <c r="G3" s="207" t="s">
        <v>751</v>
      </c>
      <c r="H3" s="207" t="s">
        <v>752</v>
      </c>
    </row>
    <row r="4" spans="1:8">
      <c r="A4" s="235" t="s">
        <v>842</v>
      </c>
      <c r="B4" s="235"/>
      <c r="C4" s="235"/>
      <c r="D4" s="235"/>
      <c r="E4" s="203" t="str">
        <f>A1</f>
        <v>Lemons 0.5kg</v>
      </c>
      <c r="F4" s="236">
        <v>0.5</v>
      </c>
      <c r="G4" s="204">
        <v>5.2610000000000001</v>
      </c>
      <c r="H4" s="204">
        <f>F4*G4</f>
        <v>2.6305000000000001</v>
      </c>
    </row>
    <row r="5" spans="1:8">
      <c r="A5" s="235" t="s">
        <v>768</v>
      </c>
      <c r="B5" s="235"/>
      <c r="C5" s="235"/>
      <c r="D5" s="235"/>
      <c r="E5" s="203" t="str">
        <f t="shared" ref="E5:E20" si="0">A2</f>
        <v>Grapes 1kg</v>
      </c>
      <c r="F5" s="236">
        <v>1</v>
      </c>
      <c r="G5" s="204">
        <v>3.8250000000000002</v>
      </c>
      <c r="H5" s="204">
        <f t="shared" ref="H5:H20" si="1">F5*G5</f>
        <v>3.8250000000000002</v>
      </c>
    </row>
    <row r="6" spans="1:8">
      <c r="A6" s="235" t="s">
        <v>770</v>
      </c>
      <c r="B6" s="235"/>
      <c r="C6" s="235"/>
      <c r="D6" s="235"/>
      <c r="E6" s="203" t="str">
        <f t="shared" si="0"/>
        <v>Apple 2kg</v>
      </c>
      <c r="F6" s="236">
        <v>2</v>
      </c>
      <c r="G6" s="204">
        <v>1.0907</v>
      </c>
      <c r="H6" s="204">
        <f t="shared" si="1"/>
        <v>2.1814</v>
      </c>
    </row>
    <row r="7" spans="1:8">
      <c r="A7" s="235" t="s">
        <v>843</v>
      </c>
      <c r="B7" s="235"/>
      <c r="C7" s="235"/>
      <c r="D7" s="235"/>
      <c r="E7" s="203" t="str">
        <f t="shared" si="0"/>
        <v>Apricot 2kg</v>
      </c>
      <c r="F7" s="236">
        <v>2</v>
      </c>
      <c r="G7" s="204">
        <v>3.95</v>
      </c>
      <c r="H7" s="204">
        <f t="shared" si="1"/>
        <v>7.9</v>
      </c>
    </row>
    <row r="8" spans="1:8">
      <c r="A8" s="235" t="s">
        <v>844</v>
      </c>
      <c r="B8" s="235"/>
      <c r="C8" s="235"/>
      <c r="D8" s="235"/>
      <c r="E8" s="203" t="str">
        <f t="shared" si="0"/>
        <v>Nectarine 2kg</v>
      </c>
      <c r="F8" s="236">
        <v>2</v>
      </c>
      <c r="G8" s="204">
        <v>4.3899999999999997</v>
      </c>
      <c r="H8" s="204">
        <f t="shared" si="1"/>
        <v>8.7799999999999994</v>
      </c>
    </row>
    <row r="9" spans="1:8">
      <c r="A9" s="235" t="s">
        <v>845</v>
      </c>
      <c r="B9" s="235"/>
      <c r="C9" s="235"/>
      <c r="D9" s="235"/>
      <c r="E9" s="203" t="str">
        <f t="shared" si="0"/>
        <v>Pear 2kg</v>
      </c>
      <c r="F9" s="236">
        <v>2</v>
      </c>
      <c r="G9" s="204">
        <v>2.57</v>
      </c>
      <c r="H9" s="204">
        <f t="shared" si="1"/>
        <v>5.14</v>
      </c>
    </row>
    <row r="10" spans="1:8">
      <c r="A10" s="235" t="s">
        <v>766</v>
      </c>
      <c r="B10" s="235"/>
      <c r="C10" s="235"/>
      <c r="D10" s="235"/>
      <c r="E10" s="203" t="str">
        <f t="shared" si="0"/>
        <v>Strawberry 3x500gm</v>
      </c>
      <c r="F10" s="236">
        <v>3</v>
      </c>
      <c r="G10" s="204">
        <v>3.5448</v>
      </c>
      <c r="H10" s="204">
        <f t="shared" si="1"/>
        <v>10.634399999999999</v>
      </c>
    </row>
    <row r="11" spans="1:8">
      <c r="A11" s="235" t="s">
        <v>846</v>
      </c>
      <c r="B11" s="235"/>
      <c r="C11" s="235"/>
      <c r="D11" s="235"/>
      <c r="E11" s="203" t="str">
        <f t="shared" si="0"/>
        <v>Mix Bell pepper 0.8kg</v>
      </c>
      <c r="F11" s="236">
        <v>0.8</v>
      </c>
      <c r="G11" s="204">
        <v>4.34</v>
      </c>
      <c r="H11" s="204">
        <f t="shared" si="1"/>
        <v>3.472</v>
      </c>
    </row>
    <row r="12" spans="1:8">
      <c r="A12" s="235" t="s">
        <v>847</v>
      </c>
      <c r="B12" s="235"/>
      <c r="C12" s="235"/>
      <c r="D12" s="235"/>
      <c r="E12" s="203" t="str">
        <f t="shared" si="0"/>
        <v>Cucumber 0.5kg</v>
      </c>
      <c r="F12" s="236">
        <v>0.5</v>
      </c>
      <c r="G12" s="237">
        <v>1.65</v>
      </c>
      <c r="H12" s="204">
        <f t="shared" si="1"/>
        <v>0.82499999999999996</v>
      </c>
    </row>
    <row r="13" spans="1:8">
      <c r="A13" s="235" t="s">
        <v>827</v>
      </c>
      <c r="B13" s="235"/>
      <c r="C13" s="235"/>
      <c r="D13" s="235"/>
      <c r="E13" s="203" t="str">
        <f t="shared" si="0"/>
        <v>Orange 3kg</v>
      </c>
      <c r="F13" s="236">
        <v>3</v>
      </c>
      <c r="G13" s="204">
        <v>1.587</v>
      </c>
      <c r="H13" s="204">
        <f t="shared" si="1"/>
        <v>4.7610000000000001</v>
      </c>
    </row>
    <row r="14" spans="1:8">
      <c r="A14" s="235" t="s">
        <v>848</v>
      </c>
      <c r="B14" s="235"/>
      <c r="C14" s="235"/>
      <c r="D14" s="235"/>
      <c r="E14" s="203" t="str">
        <f t="shared" si="0"/>
        <v>Milk 3.5% 10L</v>
      </c>
      <c r="F14" s="236">
        <v>10</v>
      </c>
      <c r="G14" s="204">
        <v>1.84</v>
      </c>
      <c r="H14" s="204">
        <f t="shared" si="1"/>
        <v>18.400000000000002</v>
      </c>
    </row>
    <row r="15" spans="1:8">
      <c r="A15" s="235" t="s">
        <v>803</v>
      </c>
      <c r="B15" s="235"/>
      <c r="C15" s="235"/>
      <c r="D15" s="235"/>
      <c r="E15" s="203" t="str">
        <f t="shared" si="0"/>
        <v>Almond Milk 12L</v>
      </c>
      <c r="F15" s="236">
        <v>12</v>
      </c>
      <c r="G15" s="204">
        <v>2.4500000000000002</v>
      </c>
      <c r="H15" s="204">
        <f t="shared" si="1"/>
        <v>29.400000000000002</v>
      </c>
    </row>
    <row r="16" spans="1:8">
      <c r="A16" s="235" t="s">
        <v>849</v>
      </c>
      <c r="B16" s="235"/>
      <c r="C16" s="235"/>
      <c r="D16" s="235"/>
      <c r="E16" s="203" t="str">
        <f t="shared" si="0"/>
        <v>Muffins 10 piece</v>
      </c>
      <c r="F16" s="236">
        <v>10</v>
      </c>
      <c r="G16" s="204">
        <v>1.1200000000000001</v>
      </c>
      <c r="H16" s="204">
        <f t="shared" si="1"/>
        <v>11.200000000000001</v>
      </c>
    </row>
    <row r="17" spans="1:8">
      <c r="A17" s="235" t="s">
        <v>830</v>
      </c>
      <c r="B17" s="235"/>
      <c r="C17" s="235"/>
      <c r="D17" s="235"/>
      <c r="E17" s="203" t="str">
        <f t="shared" si="0"/>
        <v>Bretzel 15 piece</v>
      </c>
      <c r="F17" s="236">
        <v>15</v>
      </c>
      <c r="G17" s="204">
        <v>0.34</v>
      </c>
      <c r="H17" s="204">
        <f t="shared" si="1"/>
        <v>5.1000000000000005</v>
      </c>
    </row>
    <row r="18" spans="1:8">
      <c r="A18" s="235"/>
      <c r="B18" s="235"/>
      <c r="C18" s="235"/>
      <c r="D18" s="235"/>
      <c r="E18" s="203" t="str">
        <f t="shared" si="0"/>
        <v>Bread 4 piece</v>
      </c>
      <c r="F18" s="236">
        <v>4</v>
      </c>
      <c r="G18" s="204">
        <v>2.34</v>
      </c>
      <c r="H18" s="204">
        <f t="shared" si="1"/>
        <v>9.36</v>
      </c>
    </row>
    <row r="19" spans="1:8">
      <c r="A19" s="235"/>
      <c r="B19" s="235"/>
      <c r="C19" s="235"/>
      <c r="D19" s="235"/>
      <c r="E19" s="203" t="str">
        <f t="shared" si="0"/>
        <v>Croissant Flavor 10 piece</v>
      </c>
      <c r="F19" s="236">
        <v>10</v>
      </c>
      <c r="G19" s="204">
        <v>0.69</v>
      </c>
      <c r="H19" s="204">
        <f t="shared" si="1"/>
        <v>6.8999999999999995</v>
      </c>
    </row>
    <row r="20" spans="1:8">
      <c r="A20" s="235"/>
      <c r="B20" s="235"/>
      <c r="C20" s="235"/>
      <c r="D20" s="235"/>
      <c r="E20" s="203" t="str">
        <f t="shared" si="0"/>
        <v>Butter Croissant 15 piece</v>
      </c>
      <c r="F20" s="236">
        <v>15</v>
      </c>
      <c r="G20" s="204">
        <v>0.67</v>
      </c>
      <c r="H20" s="204">
        <f t="shared" si="1"/>
        <v>10.050000000000001</v>
      </c>
    </row>
    <row r="21" spans="1:8">
      <c r="A21" s="235"/>
      <c r="B21" s="235"/>
      <c r="C21" s="235"/>
      <c r="D21" s="235"/>
      <c r="E21" s="238" t="s">
        <v>497</v>
      </c>
      <c r="F21" s="203"/>
      <c r="G21" s="204"/>
      <c r="H21" s="239">
        <f>SUM(H4:H20)</f>
        <v>140.55930000000004</v>
      </c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AD55-87E2-433F-BAF0-52491D758F17}">
  <dimension ref="A1:D40"/>
  <sheetViews>
    <sheetView workbookViewId="0">
      <selection activeCell="J10" sqref="J10"/>
    </sheetView>
  </sheetViews>
  <sheetFormatPr defaultRowHeight="15"/>
  <cols>
    <col min="1" max="1" width="51.85546875" bestFit="1" customWidth="1"/>
    <col min="2" max="2" width="4.42578125" bestFit="1" customWidth="1"/>
    <col min="3" max="3" width="12.7109375" bestFit="1" customWidth="1"/>
    <col min="4" max="4" width="12.5703125" bestFit="1" customWidth="1"/>
  </cols>
  <sheetData>
    <row r="1" spans="1:4" ht="18.75">
      <c r="A1" s="247" t="s">
        <v>850</v>
      </c>
    </row>
    <row r="2" spans="1:4">
      <c r="A2" s="248"/>
    </row>
    <row r="4" spans="1:4">
      <c r="A4" s="249" t="s">
        <v>809</v>
      </c>
      <c r="B4" s="250" t="s">
        <v>750</v>
      </c>
      <c r="C4" s="250" t="s">
        <v>751</v>
      </c>
      <c r="D4" s="250" t="s">
        <v>752</v>
      </c>
    </row>
    <row r="5" spans="1:4">
      <c r="A5" t="s">
        <v>851</v>
      </c>
      <c r="B5" s="251">
        <v>24</v>
      </c>
      <c r="C5" s="252">
        <v>0.89</v>
      </c>
      <c r="D5" s="140">
        <f>B5*C5</f>
        <v>21.36</v>
      </c>
    </row>
    <row r="6" spans="1:4">
      <c r="A6" t="s">
        <v>852</v>
      </c>
      <c r="B6" s="251">
        <v>10</v>
      </c>
      <c r="C6" s="252">
        <v>1.21</v>
      </c>
      <c r="D6" s="140">
        <f>B6*C6</f>
        <v>12.1</v>
      </c>
    </row>
    <row r="7" spans="1:4">
      <c r="A7" t="s">
        <v>853</v>
      </c>
      <c r="B7" s="251">
        <v>20</v>
      </c>
      <c r="C7" s="252">
        <v>1.59</v>
      </c>
      <c r="D7" s="140">
        <f>B7*C7</f>
        <v>31.8</v>
      </c>
    </row>
    <row r="8" spans="1:4">
      <c r="A8" t="s">
        <v>854</v>
      </c>
      <c r="B8" s="251">
        <v>11</v>
      </c>
      <c r="C8" s="252">
        <v>0.81</v>
      </c>
      <c r="D8" s="140">
        <f>B8*C8</f>
        <v>8.91</v>
      </c>
    </row>
    <row r="9" spans="1:4">
      <c r="A9" t="s">
        <v>762</v>
      </c>
      <c r="B9" s="251">
        <v>12</v>
      </c>
      <c r="C9" s="252">
        <v>1.31</v>
      </c>
      <c r="D9" s="140">
        <f>B9*C9</f>
        <v>15.72</v>
      </c>
    </row>
    <row r="10" spans="1:4">
      <c r="A10" t="s">
        <v>855</v>
      </c>
      <c r="B10" s="251">
        <v>2</v>
      </c>
      <c r="C10" s="252">
        <v>1.78</v>
      </c>
      <c r="D10" s="140">
        <f>B10*C10</f>
        <v>3.56</v>
      </c>
    </row>
    <row r="11" spans="1:4">
      <c r="A11" t="s">
        <v>856</v>
      </c>
      <c r="B11" s="251">
        <v>2</v>
      </c>
      <c r="C11" s="252">
        <v>1.66</v>
      </c>
      <c r="D11" s="140">
        <f>B11*C11</f>
        <v>3.32</v>
      </c>
    </row>
    <row r="12" spans="1:4">
      <c r="A12" t="s">
        <v>857</v>
      </c>
      <c r="B12" s="251">
        <v>1</v>
      </c>
      <c r="C12" s="252">
        <v>17.36</v>
      </c>
      <c r="D12" s="140">
        <f>B12*C12</f>
        <v>17.36</v>
      </c>
    </row>
    <row r="13" spans="1:4">
      <c r="A13" t="s">
        <v>858</v>
      </c>
      <c r="B13" s="251">
        <v>4</v>
      </c>
      <c r="C13" s="252">
        <v>2.58</v>
      </c>
      <c r="D13" s="140">
        <f>B13*C13</f>
        <v>10.32</v>
      </c>
    </row>
    <row r="14" spans="1:4">
      <c r="A14" t="s">
        <v>859</v>
      </c>
      <c r="B14" s="251">
        <v>1</v>
      </c>
      <c r="C14" s="252">
        <v>2.19</v>
      </c>
      <c r="D14" s="140">
        <f>B14*C14</f>
        <v>2.19</v>
      </c>
    </row>
    <row r="15" spans="1:4">
      <c r="A15" t="s">
        <v>860</v>
      </c>
      <c r="B15" s="251">
        <v>1</v>
      </c>
      <c r="C15" s="252">
        <v>2.19</v>
      </c>
      <c r="D15" s="140">
        <f>B15*C15</f>
        <v>2.19</v>
      </c>
    </row>
    <row r="16" spans="1:4">
      <c r="A16" t="s">
        <v>861</v>
      </c>
      <c r="B16" s="251">
        <v>2</v>
      </c>
      <c r="C16" s="252">
        <v>2.7054999999999998</v>
      </c>
      <c r="D16" s="140">
        <f>B16*C16</f>
        <v>5.4109999999999996</v>
      </c>
    </row>
    <row r="17" spans="1:4">
      <c r="A17" t="s">
        <v>862</v>
      </c>
      <c r="B17" s="251">
        <v>2</v>
      </c>
      <c r="C17" s="252">
        <v>3.9</v>
      </c>
      <c r="D17" s="140">
        <f>B17*C17</f>
        <v>7.8</v>
      </c>
    </row>
    <row r="18" spans="1:4">
      <c r="A18" t="s">
        <v>863</v>
      </c>
      <c r="B18" s="251">
        <v>1</v>
      </c>
      <c r="C18" s="253">
        <v>4.5</v>
      </c>
      <c r="D18" s="254">
        <f>B18*C18</f>
        <v>4.5</v>
      </c>
    </row>
    <row r="19" spans="1:4">
      <c r="A19" t="s">
        <v>864</v>
      </c>
      <c r="B19" s="251">
        <v>1</v>
      </c>
      <c r="C19" s="252">
        <v>1.19</v>
      </c>
      <c r="D19" s="140">
        <f>B19*C19</f>
        <v>1.19</v>
      </c>
    </row>
    <row r="20" spans="1:4">
      <c r="A20" t="s">
        <v>865</v>
      </c>
      <c r="B20" s="251">
        <v>1</v>
      </c>
      <c r="C20" s="252">
        <v>13.99</v>
      </c>
      <c r="D20" s="140">
        <f>B20*C20</f>
        <v>13.99</v>
      </c>
    </row>
    <row r="21" spans="1:4">
      <c r="A21" t="s">
        <v>866</v>
      </c>
      <c r="B21" s="251">
        <v>1</v>
      </c>
      <c r="C21" s="252">
        <v>0.5</v>
      </c>
      <c r="D21" s="140">
        <f>B21*C21</f>
        <v>0.5</v>
      </c>
    </row>
    <row r="22" spans="1:4">
      <c r="A22" t="s">
        <v>867</v>
      </c>
      <c r="B22" s="251">
        <v>1</v>
      </c>
      <c r="C22" s="252">
        <v>6.99</v>
      </c>
      <c r="D22" s="140">
        <f>B22*C22</f>
        <v>6.99</v>
      </c>
    </row>
    <row r="23" spans="1:4">
      <c r="A23" t="s">
        <v>868</v>
      </c>
      <c r="B23" s="251">
        <v>1</v>
      </c>
      <c r="C23" s="252">
        <v>3.99</v>
      </c>
      <c r="D23" s="140">
        <f>B23*C23</f>
        <v>3.99</v>
      </c>
    </row>
    <row r="24" spans="1:4">
      <c r="A24" t="s">
        <v>869</v>
      </c>
      <c r="B24" s="251">
        <v>24</v>
      </c>
      <c r="C24" s="252">
        <v>1.49</v>
      </c>
      <c r="D24" s="140">
        <f>B24*C24</f>
        <v>35.76</v>
      </c>
    </row>
    <row r="25" spans="1:4">
      <c r="A25" t="s">
        <v>827</v>
      </c>
      <c r="B25" s="251">
        <v>10</v>
      </c>
      <c r="C25" s="252">
        <v>1.1200000000000001</v>
      </c>
      <c r="D25" s="140">
        <f>B25*C25</f>
        <v>11.200000000000001</v>
      </c>
    </row>
    <row r="26" spans="1:4">
      <c r="A26" t="s">
        <v>848</v>
      </c>
      <c r="B26" s="251">
        <v>15</v>
      </c>
      <c r="C26" s="252">
        <v>0.34</v>
      </c>
      <c r="D26" s="140">
        <f>B26*C26</f>
        <v>5.1000000000000005</v>
      </c>
    </row>
    <row r="27" spans="1:4">
      <c r="A27" t="s">
        <v>803</v>
      </c>
      <c r="B27" s="251">
        <v>4</v>
      </c>
      <c r="C27" s="252">
        <v>2.34</v>
      </c>
      <c r="D27" s="140">
        <f>B27*C27</f>
        <v>9.36</v>
      </c>
    </row>
    <row r="28" spans="1:4">
      <c r="A28" t="s">
        <v>849</v>
      </c>
      <c r="B28" s="251">
        <v>10</v>
      </c>
      <c r="C28" s="252">
        <v>0.69</v>
      </c>
      <c r="D28" s="140">
        <f>B28*C28</f>
        <v>6.8999999999999995</v>
      </c>
    </row>
    <row r="29" spans="1:4">
      <c r="A29" t="s">
        <v>830</v>
      </c>
      <c r="B29" s="251">
        <v>15</v>
      </c>
      <c r="C29" s="252">
        <v>0.67</v>
      </c>
      <c r="D29" s="140">
        <f>B29*C29</f>
        <v>10.050000000000001</v>
      </c>
    </row>
    <row r="30" spans="1:4">
      <c r="A30" t="s">
        <v>870</v>
      </c>
      <c r="B30" s="251">
        <v>0.5</v>
      </c>
      <c r="C30" s="252">
        <v>5.26</v>
      </c>
      <c r="D30" s="140">
        <f>B30*C30</f>
        <v>2.63</v>
      </c>
    </row>
    <row r="31" spans="1:4">
      <c r="A31" t="s">
        <v>871</v>
      </c>
      <c r="B31" s="251">
        <v>3</v>
      </c>
      <c r="C31" s="252">
        <v>3.83</v>
      </c>
      <c r="D31" s="140">
        <f>B31*C31</f>
        <v>11.49</v>
      </c>
    </row>
    <row r="32" spans="1:4">
      <c r="A32" t="s">
        <v>841</v>
      </c>
      <c r="B32" s="251">
        <v>2</v>
      </c>
      <c r="C32" s="252">
        <v>1.0902000000000001</v>
      </c>
      <c r="D32" s="140">
        <f>B32*C32</f>
        <v>2.1804000000000001</v>
      </c>
    </row>
    <row r="33" spans="1:4">
      <c r="A33" t="s">
        <v>842</v>
      </c>
      <c r="B33" s="251">
        <v>2</v>
      </c>
      <c r="C33" s="252">
        <v>3.95</v>
      </c>
      <c r="D33" s="140">
        <f>B33*C33</f>
        <v>7.9</v>
      </c>
    </row>
    <row r="34" spans="1:4">
      <c r="A34" t="s">
        <v>768</v>
      </c>
      <c r="B34" s="251">
        <v>2</v>
      </c>
      <c r="C34" s="252">
        <v>4.3899999999999997</v>
      </c>
      <c r="D34" s="140">
        <f>B34*C34</f>
        <v>8.7799999999999994</v>
      </c>
    </row>
    <row r="35" spans="1:4">
      <c r="A35" t="s">
        <v>872</v>
      </c>
      <c r="B35" s="251">
        <v>2</v>
      </c>
      <c r="C35" s="252">
        <v>4.4088000000000003</v>
      </c>
      <c r="D35" s="140">
        <f>B35*C35</f>
        <v>8.8176000000000005</v>
      </c>
    </row>
    <row r="36" spans="1:4">
      <c r="A36" t="s">
        <v>873</v>
      </c>
      <c r="B36" s="251">
        <v>1.5</v>
      </c>
      <c r="C36" s="252">
        <v>7.2934000000000001</v>
      </c>
      <c r="D36" s="140">
        <f>B36*C36</f>
        <v>10.940100000000001</v>
      </c>
    </row>
    <row r="37" spans="1:4">
      <c r="A37" t="s">
        <v>874</v>
      </c>
      <c r="B37" s="251">
        <v>0.5</v>
      </c>
      <c r="C37" s="252">
        <v>5.3933</v>
      </c>
      <c r="D37" s="140">
        <f>B37*C37</f>
        <v>2.69665</v>
      </c>
    </row>
    <row r="38" spans="1:4">
      <c r="A38" t="s">
        <v>845</v>
      </c>
      <c r="B38" s="251">
        <v>0.5</v>
      </c>
      <c r="C38" s="252">
        <v>1.65</v>
      </c>
      <c r="D38" s="140">
        <f>B38*C38</f>
        <v>0.82499999999999996</v>
      </c>
    </row>
    <row r="39" spans="1:4">
      <c r="A39" t="s">
        <v>766</v>
      </c>
      <c r="B39" s="251">
        <v>3</v>
      </c>
      <c r="C39" s="252">
        <v>1.5872999999999999</v>
      </c>
      <c r="D39" s="140">
        <f>B39*C39</f>
        <v>4.7618999999999998</v>
      </c>
    </row>
    <row r="40" spans="1:4">
      <c r="A40" s="255" t="s">
        <v>497</v>
      </c>
      <c r="B40" s="255"/>
      <c r="C40" s="255"/>
      <c r="D40" s="256">
        <f>SUM(D5:D39)</f>
        <v>312.59264999999994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989F-474A-4F9A-BE7C-C6AA238A6A30}">
  <dimension ref="A1:D28"/>
  <sheetViews>
    <sheetView workbookViewId="0">
      <selection activeCell="I18" sqref="I18"/>
    </sheetView>
  </sheetViews>
  <sheetFormatPr defaultRowHeight="15"/>
  <cols>
    <col min="1" max="1" width="55.85546875" bestFit="1" customWidth="1"/>
    <col min="2" max="2" width="4.42578125" bestFit="1" customWidth="1"/>
    <col min="3" max="3" width="12.7109375" bestFit="1" customWidth="1"/>
    <col min="4" max="4" width="12.5703125" bestFit="1" customWidth="1"/>
  </cols>
  <sheetData>
    <row r="1" spans="1:4" ht="18.75">
      <c r="A1" s="247" t="s">
        <v>875</v>
      </c>
    </row>
    <row r="2" spans="1:4">
      <c r="A2" s="248"/>
    </row>
    <row r="4" spans="1:4">
      <c r="A4" s="249" t="s">
        <v>809</v>
      </c>
      <c r="B4" s="250" t="s">
        <v>750</v>
      </c>
      <c r="C4" s="250" t="s">
        <v>751</v>
      </c>
      <c r="D4" s="250" t="s">
        <v>752</v>
      </c>
    </row>
    <row r="5" spans="1:4">
      <c r="A5" t="s">
        <v>876</v>
      </c>
      <c r="B5" s="251">
        <v>24</v>
      </c>
      <c r="C5" s="252">
        <v>1.31</v>
      </c>
      <c r="D5" s="140">
        <f>B5*C5</f>
        <v>31.44</v>
      </c>
    </row>
    <row r="6" spans="1:4">
      <c r="A6" t="s">
        <v>877</v>
      </c>
      <c r="B6" s="251">
        <v>24</v>
      </c>
      <c r="C6" s="252">
        <v>0.81</v>
      </c>
      <c r="D6" s="140">
        <f>B6*C6</f>
        <v>19.440000000000001</v>
      </c>
    </row>
    <row r="7" spans="1:4">
      <c r="A7" t="s">
        <v>878</v>
      </c>
      <c r="B7" s="251">
        <v>36</v>
      </c>
      <c r="C7" s="252">
        <v>1.84</v>
      </c>
      <c r="D7" s="140">
        <f>B7*C7</f>
        <v>66.240000000000009</v>
      </c>
    </row>
    <row r="8" spans="1:4">
      <c r="A8" t="s">
        <v>879</v>
      </c>
      <c r="B8" s="251">
        <v>1</v>
      </c>
      <c r="C8" s="252">
        <v>3.99</v>
      </c>
      <c r="D8" s="140">
        <f>B8*C8</f>
        <v>3.99</v>
      </c>
    </row>
    <row r="9" spans="1:4">
      <c r="A9" t="s">
        <v>867</v>
      </c>
      <c r="B9" s="251">
        <v>1</v>
      </c>
      <c r="C9" s="252">
        <v>6.99</v>
      </c>
      <c r="D9" s="140">
        <f>B9*C9</f>
        <v>6.99</v>
      </c>
    </row>
    <row r="10" spans="1:4">
      <c r="A10" t="s">
        <v>880</v>
      </c>
      <c r="B10" s="251">
        <v>1</v>
      </c>
      <c r="C10" s="253">
        <v>7</v>
      </c>
      <c r="D10" s="254">
        <f>B10*C10</f>
        <v>7</v>
      </c>
    </row>
    <row r="11" spans="1:4">
      <c r="A11" t="s">
        <v>881</v>
      </c>
      <c r="B11" s="251">
        <v>3</v>
      </c>
      <c r="C11" s="253">
        <v>1.89</v>
      </c>
      <c r="D11" s="254">
        <f>B11*C11</f>
        <v>5.67</v>
      </c>
    </row>
    <row r="12" spans="1:4">
      <c r="A12" t="s">
        <v>604</v>
      </c>
      <c r="B12" s="251">
        <v>3</v>
      </c>
      <c r="C12" s="252">
        <v>7.33</v>
      </c>
      <c r="D12" s="140">
        <f>B12*C12</f>
        <v>21.990000000000002</v>
      </c>
    </row>
    <row r="13" spans="1:4">
      <c r="A13" t="s">
        <v>882</v>
      </c>
      <c r="B13" s="251">
        <v>1</v>
      </c>
      <c r="C13" s="253">
        <v>17.36</v>
      </c>
      <c r="D13" s="254">
        <f>B13*C13</f>
        <v>17.36</v>
      </c>
    </row>
    <row r="14" spans="1:4">
      <c r="A14" t="s">
        <v>883</v>
      </c>
      <c r="B14" s="251">
        <v>2</v>
      </c>
      <c r="C14" s="252">
        <v>2.2774999999999999</v>
      </c>
      <c r="D14" s="140">
        <f>B14*C14</f>
        <v>4.5549999999999997</v>
      </c>
    </row>
    <row r="15" spans="1:4">
      <c r="A15" t="s">
        <v>601</v>
      </c>
      <c r="B15" s="251">
        <v>5</v>
      </c>
      <c r="C15" s="252">
        <v>1.5872999999999999</v>
      </c>
      <c r="D15" s="140">
        <f>B15*C15</f>
        <v>7.9364999999999997</v>
      </c>
    </row>
    <row r="16" spans="1:4">
      <c r="A16" t="s">
        <v>884</v>
      </c>
      <c r="B16" s="251">
        <v>1</v>
      </c>
      <c r="C16" s="253">
        <v>4.2</v>
      </c>
      <c r="D16" s="254">
        <f>B16*C16</f>
        <v>4.2</v>
      </c>
    </row>
    <row r="17" spans="1:4">
      <c r="A17" t="s">
        <v>885</v>
      </c>
      <c r="B17" s="251">
        <v>2</v>
      </c>
      <c r="C17" s="252">
        <v>3.83</v>
      </c>
      <c r="D17" s="140">
        <f>B17*C17</f>
        <v>7.66</v>
      </c>
    </row>
    <row r="18" spans="1:4">
      <c r="A18" t="s">
        <v>886</v>
      </c>
      <c r="B18" s="251">
        <v>2</v>
      </c>
      <c r="C18" s="252">
        <v>0.63749999999999996</v>
      </c>
      <c r="D18" s="140">
        <f>B18*C18</f>
        <v>1.2749999999999999</v>
      </c>
    </row>
    <row r="19" spans="1:4">
      <c r="A19" t="s">
        <v>887</v>
      </c>
      <c r="B19" s="251">
        <v>0.5</v>
      </c>
      <c r="C19" s="252">
        <v>5.3933</v>
      </c>
      <c r="D19" s="140">
        <f>B19*C19</f>
        <v>2.69665</v>
      </c>
    </row>
    <row r="20" spans="1:4">
      <c r="A20" t="s">
        <v>888</v>
      </c>
      <c r="B20" s="251">
        <v>2</v>
      </c>
      <c r="C20" s="252">
        <v>7.2934000000000001</v>
      </c>
      <c r="D20" s="140">
        <f>B20*C20</f>
        <v>14.5868</v>
      </c>
    </row>
    <row r="21" spans="1:4">
      <c r="A21" t="s">
        <v>872</v>
      </c>
      <c r="B21" s="251">
        <v>2</v>
      </c>
      <c r="C21" s="252">
        <v>4.4088000000000003</v>
      </c>
      <c r="D21" s="140">
        <f>B21*C21</f>
        <v>8.8176000000000005</v>
      </c>
    </row>
    <row r="22" spans="1:4">
      <c r="A22" t="s">
        <v>889</v>
      </c>
      <c r="B22" s="251">
        <v>1</v>
      </c>
      <c r="C22" s="252">
        <v>1.0902000000000001</v>
      </c>
      <c r="D22" s="140">
        <f>B22*C22</f>
        <v>1.0902000000000001</v>
      </c>
    </row>
    <row r="23" spans="1:4">
      <c r="A23" t="s">
        <v>827</v>
      </c>
      <c r="B23" s="251">
        <v>10</v>
      </c>
      <c r="C23" s="252">
        <v>1.1200000000000001</v>
      </c>
      <c r="D23" s="140">
        <f>B23*C23</f>
        <v>11.200000000000001</v>
      </c>
    </row>
    <row r="24" spans="1:4">
      <c r="A24" t="s">
        <v>848</v>
      </c>
      <c r="B24" s="251">
        <v>15</v>
      </c>
      <c r="C24" s="252">
        <v>0.34</v>
      </c>
      <c r="D24" s="140">
        <f>B24*C24</f>
        <v>5.1000000000000005</v>
      </c>
    </row>
    <row r="25" spans="1:4">
      <c r="A25" t="s">
        <v>803</v>
      </c>
      <c r="B25" s="251">
        <v>4</v>
      </c>
      <c r="C25" s="252">
        <v>2.34</v>
      </c>
      <c r="D25" s="140">
        <f>B25*C25</f>
        <v>9.36</v>
      </c>
    </row>
    <row r="26" spans="1:4">
      <c r="A26" t="s">
        <v>849</v>
      </c>
      <c r="B26" s="251">
        <v>10</v>
      </c>
      <c r="C26" s="252">
        <v>0.69</v>
      </c>
      <c r="D26" s="140">
        <f>B26*C26</f>
        <v>6.8999999999999995</v>
      </c>
    </row>
    <row r="27" spans="1:4">
      <c r="A27" t="s">
        <v>830</v>
      </c>
      <c r="B27" s="251">
        <v>15</v>
      </c>
      <c r="C27" s="252">
        <v>0.67</v>
      </c>
      <c r="D27" s="140">
        <f>B27*C27</f>
        <v>10.050000000000001</v>
      </c>
    </row>
    <row r="28" spans="1:4">
      <c r="A28" s="255" t="s">
        <v>497</v>
      </c>
      <c r="B28" s="255"/>
      <c r="C28" s="255"/>
      <c r="D28" s="256">
        <f>SUM(D5:D27)</f>
        <v>275.54775000000001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1487-F7EC-4E32-B520-B674CC6CE60E}">
  <dimension ref="A1:E36"/>
  <sheetViews>
    <sheetView workbookViewId="0">
      <selection activeCell="T25" sqref="T25"/>
    </sheetView>
  </sheetViews>
  <sheetFormatPr defaultRowHeight="15"/>
  <cols>
    <col min="1" max="1" width="29.5703125" bestFit="1" customWidth="1"/>
    <col min="2" max="2" width="4.42578125" bestFit="1" customWidth="1"/>
    <col min="3" max="3" width="8.42578125" bestFit="1" customWidth="1"/>
    <col min="4" max="4" width="12.7109375" bestFit="1" customWidth="1"/>
    <col min="5" max="5" width="12.5703125" bestFit="1" customWidth="1"/>
  </cols>
  <sheetData>
    <row r="1" spans="1:5" ht="18.75">
      <c r="A1" s="261" t="s">
        <v>890</v>
      </c>
      <c r="B1" s="262"/>
      <c r="C1" s="262"/>
      <c r="D1" s="262"/>
      <c r="E1" s="262"/>
    </row>
    <row r="3" spans="1:5">
      <c r="A3" s="257" t="s">
        <v>444</v>
      </c>
      <c r="B3" s="257" t="s">
        <v>750</v>
      </c>
      <c r="C3" s="257" t="s">
        <v>98</v>
      </c>
      <c r="D3" s="257" t="s">
        <v>751</v>
      </c>
      <c r="E3" s="257" t="s">
        <v>752</v>
      </c>
    </row>
    <row r="4" spans="1:5">
      <c r="A4" s="200" t="s">
        <v>891</v>
      </c>
      <c r="B4" s="258">
        <v>36</v>
      </c>
      <c r="C4" s="200" t="s">
        <v>102</v>
      </c>
      <c r="D4" s="224">
        <v>1.61</v>
      </c>
      <c r="E4" s="224">
        <f>B4*D4</f>
        <v>57.96</v>
      </c>
    </row>
    <row r="5" spans="1:5">
      <c r="A5" s="200" t="s">
        <v>892</v>
      </c>
      <c r="B5" s="258">
        <v>6</v>
      </c>
      <c r="C5" s="200" t="s">
        <v>102</v>
      </c>
      <c r="D5" s="224">
        <v>1.44</v>
      </c>
      <c r="E5" s="224">
        <f>B5*D5</f>
        <v>8.64</v>
      </c>
    </row>
    <row r="6" spans="1:5">
      <c r="A6" s="200" t="s">
        <v>893</v>
      </c>
      <c r="B6" s="258">
        <v>8</v>
      </c>
      <c r="C6" s="200" t="s">
        <v>102</v>
      </c>
      <c r="D6" s="224">
        <v>0.81</v>
      </c>
      <c r="E6" s="224">
        <f>B6*D6</f>
        <v>6.48</v>
      </c>
    </row>
    <row r="7" spans="1:5">
      <c r="A7" s="200" t="s">
        <v>894</v>
      </c>
      <c r="B7" s="258">
        <v>12</v>
      </c>
      <c r="C7" s="200" t="s">
        <v>102</v>
      </c>
      <c r="D7" s="224">
        <v>0.81</v>
      </c>
      <c r="E7" s="224">
        <f>B7*D7</f>
        <v>9.7200000000000006</v>
      </c>
    </row>
    <row r="8" spans="1:5">
      <c r="A8" s="200" t="s">
        <v>895</v>
      </c>
      <c r="B8" s="258">
        <v>12</v>
      </c>
      <c r="C8" s="200" t="s">
        <v>102</v>
      </c>
      <c r="D8" s="224">
        <v>0.76</v>
      </c>
      <c r="E8" s="224">
        <f>B8*D8</f>
        <v>9.120000000000001</v>
      </c>
    </row>
    <row r="9" spans="1:5">
      <c r="A9" s="200" t="s">
        <v>896</v>
      </c>
      <c r="B9" s="258">
        <v>12</v>
      </c>
      <c r="C9" s="200" t="s">
        <v>102</v>
      </c>
      <c r="D9" s="224">
        <v>0.7</v>
      </c>
      <c r="E9" s="224">
        <f>B9*D9</f>
        <v>8.3999999999999986</v>
      </c>
    </row>
    <row r="10" spans="1:5">
      <c r="A10" s="200" t="s">
        <v>897</v>
      </c>
      <c r="B10" s="258">
        <v>12</v>
      </c>
      <c r="C10" s="200" t="s">
        <v>102</v>
      </c>
      <c r="D10" s="224">
        <v>1.31</v>
      </c>
      <c r="E10" s="224">
        <f>B10*D10</f>
        <v>15.72</v>
      </c>
    </row>
    <row r="11" spans="1:5">
      <c r="A11" s="200" t="s">
        <v>898</v>
      </c>
      <c r="B11" s="258">
        <v>12</v>
      </c>
      <c r="C11" s="200" t="s">
        <v>102</v>
      </c>
      <c r="D11" s="224">
        <v>0.99</v>
      </c>
      <c r="E11" s="224">
        <f>B11*D11</f>
        <v>11.879999999999999</v>
      </c>
    </row>
    <row r="12" spans="1:5">
      <c r="A12" s="200" t="s">
        <v>899</v>
      </c>
      <c r="B12" s="258">
        <v>2</v>
      </c>
      <c r="C12" s="200" t="s">
        <v>151</v>
      </c>
      <c r="D12" s="224">
        <v>1.98</v>
      </c>
      <c r="E12" s="224">
        <f>B12*D12</f>
        <v>3.96</v>
      </c>
    </row>
    <row r="13" spans="1:5">
      <c r="A13" s="200" t="s">
        <v>900</v>
      </c>
      <c r="B13" s="258">
        <v>12</v>
      </c>
      <c r="C13" s="200" t="s">
        <v>102</v>
      </c>
      <c r="D13" s="224">
        <v>0.69</v>
      </c>
      <c r="E13" s="224">
        <f>B13*D13</f>
        <v>8.2799999999999994</v>
      </c>
    </row>
    <row r="14" spans="1:5">
      <c r="A14" s="200" t="s">
        <v>901</v>
      </c>
      <c r="B14" s="258">
        <v>1</v>
      </c>
      <c r="C14" s="200" t="s">
        <v>7</v>
      </c>
      <c r="D14" s="224">
        <v>10.220000000000001</v>
      </c>
      <c r="E14" s="224">
        <f>B14*D14</f>
        <v>10.220000000000001</v>
      </c>
    </row>
    <row r="15" spans="1:5">
      <c r="A15" s="200" t="s">
        <v>902</v>
      </c>
      <c r="B15" s="258">
        <v>3</v>
      </c>
      <c r="C15" s="200" t="s">
        <v>102</v>
      </c>
      <c r="D15" s="224">
        <v>2.58</v>
      </c>
      <c r="E15" s="224">
        <f>B15*D15</f>
        <v>7.74</v>
      </c>
    </row>
    <row r="16" spans="1:5">
      <c r="A16" s="200" t="s">
        <v>903</v>
      </c>
      <c r="B16" s="258">
        <v>6</v>
      </c>
      <c r="C16" s="200" t="s">
        <v>151</v>
      </c>
      <c r="D16" s="224">
        <v>2.29</v>
      </c>
      <c r="E16" s="224">
        <f>B16*D16</f>
        <v>13.74</v>
      </c>
    </row>
    <row r="17" spans="1:5">
      <c r="A17" s="200" t="s">
        <v>735</v>
      </c>
      <c r="B17" s="258">
        <v>10</v>
      </c>
      <c r="C17" s="200" t="s">
        <v>102</v>
      </c>
      <c r="D17" s="224">
        <v>1.1200000000000001</v>
      </c>
      <c r="E17" s="224">
        <f>B17*D17</f>
        <v>11.200000000000001</v>
      </c>
    </row>
    <row r="18" spans="1:5">
      <c r="A18" s="200" t="s">
        <v>904</v>
      </c>
      <c r="B18" s="258">
        <v>10</v>
      </c>
      <c r="C18" s="200" t="s">
        <v>102</v>
      </c>
      <c r="D18" s="224">
        <v>0.35</v>
      </c>
      <c r="E18" s="224">
        <f>B18*D18</f>
        <v>3.5</v>
      </c>
    </row>
    <row r="19" spans="1:5">
      <c r="A19" s="200" t="s">
        <v>905</v>
      </c>
      <c r="B19" s="258">
        <v>2</v>
      </c>
      <c r="C19" s="200" t="s">
        <v>151</v>
      </c>
      <c r="D19" s="224">
        <v>1.55</v>
      </c>
      <c r="E19" s="224">
        <f>B19*D19</f>
        <v>3.1</v>
      </c>
    </row>
    <row r="20" spans="1:5">
      <c r="A20" s="200" t="s">
        <v>736</v>
      </c>
      <c r="B20" s="258">
        <v>10</v>
      </c>
      <c r="C20" s="200" t="s">
        <v>102</v>
      </c>
      <c r="D20" s="224">
        <v>0.69</v>
      </c>
      <c r="E20" s="224">
        <f>B20*D20</f>
        <v>6.8999999999999995</v>
      </c>
    </row>
    <row r="21" spans="1:5">
      <c r="A21" s="200" t="s">
        <v>737</v>
      </c>
      <c r="B21" s="258">
        <v>15</v>
      </c>
      <c r="C21" s="200" t="s">
        <v>102</v>
      </c>
      <c r="D21" s="224">
        <v>0.69</v>
      </c>
      <c r="E21" s="224">
        <f>B21*D21</f>
        <v>10.35</v>
      </c>
    </row>
    <row r="22" spans="1:5">
      <c r="A22" s="200" t="s">
        <v>906</v>
      </c>
      <c r="B22" s="258">
        <v>10</v>
      </c>
      <c r="C22" s="200" t="s">
        <v>102</v>
      </c>
      <c r="D22" s="224">
        <v>0.52</v>
      </c>
      <c r="E22" s="224">
        <f>B22*D22</f>
        <v>5.2</v>
      </c>
    </row>
    <row r="23" spans="1:5">
      <c r="A23" s="200" t="s">
        <v>907</v>
      </c>
      <c r="B23" s="258">
        <v>40</v>
      </c>
      <c r="C23" s="200" t="s">
        <v>102</v>
      </c>
      <c r="D23" s="224">
        <v>0.3</v>
      </c>
      <c r="E23" s="224">
        <f>B23*D23</f>
        <v>12</v>
      </c>
    </row>
    <row r="24" spans="1:5">
      <c r="A24" s="200" t="s">
        <v>392</v>
      </c>
      <c r="B24" s="258">
        <v>1.5</v>
      </c>
      <c r="C24" s="200" t="s">
        <v>7</v>
      </c>
      <c r="D24" s="224">
        <v>5.26</v>
      </c>
      <c r="E24" s="224">
        <f>B24*D24</f>
        <v>7.89</v>
      </c>
    </row>
    <row r="25" spans="1:5">
      <c r="A25" s="200" t="s">
        <v>908</v>
      </c>
      <c r="B25" s="258">
        <v>2</v>
      </c>
      <c r="C25" s="200" t="s">
        <v>7</v>
      </c>
      <c r="D25" s="224">
        <v>4.16</v>
      </c>
      <c r="E25" s="224">
        <f>B25*D25</f>
        <v>8.32</v>
      </c>
    </row>
    <row r="26" spans="1:5">
      <c r="A26" s="200" t="s">
        <v>909</v>
      </c>
      <c r="B26" s="258">
        <v>3</v>
      </c>
      <c r="C26" s="200" t="s">
        <v>7</v>
      </c>
      <c r="D26" s="224">
        <v>1.71</v>
      </c>
      <c r="E26" s="224">
        <f>B26*D26</f>
        <v>5.13</v>
      </c>
    </row>
    <row r="27" spans="1:5">
      <c r="A27" s="200" t="s">
        <v>910</v>
      </c>
      <c r="B27" s="258">
        <v>1</v>
      </c>
      <c r="C27" s="200" t="s">
        <v>7</v>
      </c>
      <c r="D27" s="224">
        <v>2.93</v>
      </c>
      <c r="E27" s="224">
        <f>B27*D27</f>
        <v>2.93</v>
      </c>
    </row>
    <row r="28" spans="1:5">
      <c r="A28" s="200" t="s">
        <v>911</v>
      </c>
      <c r="B28" s="258">
        <v>2</v>
      </c>
      <c r="C28" s="200" t="s">
        <v>7</v>
      </c>
      <c r="D28" s="224">
        <v>4.3899999999999997</v>
      </c>
      <c r="E28" s="224">
        <f>B28*D28</f>
        <v>8.7799999999999994</v>
      </c>
    </row>
    <row r="29" spans="1:5">
      <c r="A29" s="200" t="s">
        <v>912</v>
      </c>
      <c r="B29" s="258">
        <v>2</v>
      </c>
      <c r="C29" s="200" t="s">
        <v>7</v>
      </c>
      <c r="D29" s="224">
        <v>2.09</v>
      </c>
      <c r="E29" s="224">
        <f>B29*D29</f>
        <v>4.18</v>
      </c>
    </row>
    <row r="30" spans="1:5">
      <c r="A30" s="200" t="s">
        <v>913</v>
      </c>
      <c r="B30" s="258">
        <v>8</v>
      </c>
      <c r="C30" s="200" t="s">
        <v>7</v>
      </c>
      <c r="D30" s="224">
        <v>1.64</v>
      </c>
      <c r="E30" s="224">
        <f>B30*D30</f>
        <v>13.12</v>
      </c>
    </row>
    <row r="31" spans="1:5">
      <c r="A31" s="200" t="s">
        <v>914</v>
      </c>
      <c r="B31" s="258">
        <v>2</v>
      </c>
      <c r="C31" s="200" t="s">
        <v>7</v>
      </c>
      <c r="D31" s="224">
        <v>4.66</v>
      </c>
      <c r="E31" s="224">
        <f>B31*D31</f>
        <v>9.32</v>
      </c>
    </row>
    <row r="32" spans="1:5">
      <c r="A32" s="200" t="s">
        <v>915</v>
      </c>
      <c r="B32" s="258">
        <v>5</v>
      </c>
      <c r="C32" s="200" t="s">
        <v>665</v>
      </c>
      <c r="D32" s="224">
        <v>3.09</v>
      </c>
      <c r="E32" s="224">
        <f>B32*D32</f>
        <v>15.45</v>
      </c>
    </row>
    <row r="33" spans="1:5">
      <c r="A33" s="200" t="s">
        <v>916</v>
      </c>
      <c r="B33" s="258">
        <v>2</v>
      </c>
      <c r="C33" s="200" t="s">
        <v>7</v>
      </c>
      <c r="D33" s="224">
        <v>1.0900000000000001</v>
      </c>
      <c r="E33" s="224">
        <f>B33*D33</f>
        <v>2.1800000000000002</v>
      </c>
    </row>
    <row r="34" spans="1:5">
      <c r="A34" s="200" t="s">
        <v>917</v>
      </c>
      <c r="B34" s="258">
        <v>0.5</v>
      </c>
      <c r="C34" s="200" t="s">
        <v>7</v>
      </c>
      <c r="D34" s="224">
        <v>4.46</v>
      </c>
      <c r="E34" s="224">
        <f>B34*D34</f>
        <v>2.23</v>
      </c>
    </row>
    <row r="35" spans="1:5">
      <c r="A35" s="200" t="s">
        <v>918</v>
      </c>
      <c r="B35" s="258">
        <v>0.5</v>
      </c>
      <c r="C35" s="200" t="s">
        <v>7</v>
      </c>
      <c r="D35" s="224">
        <v>2.1</v>
      </c>
      <c r="E35" s="224">
        <f>B35*D35</f>
        <v>1.05</v>
      </c>
    </row>
    <row r="36" spans="1:5">
      <c r="A36" s="259" t="s">
        <v>497</v>
      </c>
      <c r="B36" s="259"/>
      <c r="C36" s="259"/>
      <c r="D36" s="259"/>
      <c r="E36" s="260">
        <f>SUM(E4:E35)</f>
        <v>304.69</v>
      </c>
    </row>
  </sheetData>
  <mergeCells count="1">
    <mergeCell ref="A1:E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6060-0F98-4575-AD52-4128B0341B09}">
  <dimension ref="A1:E22"/>
  <sheetViews>
    <sheetView tabSelected="1" workbookViewId="0">
      <selection activeCell="W29" sqref="W29"/>
    </sheetView>
  </sheetViews>
  <sheetFormatPr defaultRowHeight="15"/>
  <cols>
    <col min="1" max="1" width="31.140625" customWidth="1"/>
    <col min="2" max="2" width="4.42578125" bestFit="1" customWidth="1"/>
    <col min="3" max="3" width="5" bestFit="1" customWidth="1"/>
    <col min="4" max="4" width="12.7109375" bestFit="1" customWidth="1"/>
    <col min="5" max="5" width="12.5703125" bestFit="1" customWidth="1"/>
  </cols>
  <sheetData>
    <row r="1" spans="1:5" ht="18.75">
      <c r="A1" s="261" t="s">
        <v>919</v>
      </c>
      <c r="B1" s="262"/>
      <c r="C1" s="262"/>
      <c r="D1" s="262"/>
      <c r="E1" s="262"/>
    </row>
    <row r="3" spans="1:5">
      <c r="A3" s="257" t="s">
        <v>444</v>
      </c>
      <c r="B3" s="257" t="s">
        <v>750</v>
      </c>
      <c r="C3" s="257" t="s">
        <v>98</v>
      </c>
      <c r="D3" s="257" t="s">
        <v>751</v>
      </c>
      <c r="E3" s="257" t="s">
        <v>752</v>
      </c>
    </row>
    <row r="4" spans="1:5">
      <c r="A4" s="200" t="s">
        <v>920</v>
      </c>
      <c r="B4" s="258">
        <v>24</v>
      </c>
      <c r="C4" s="200" t="s">
        <v>102</v>
      </c>
      <c r="D4" s="224">
        <v>0.81</v>
      </c>
      <c r="E4" s="224">
        <f>B4*D4</f>
        <v>19.440000000000001</v>
      </c>
    </row>
    <row r="5" spans="1:5">
      <c r="A5" s="200" t="s">
        <v>896</v>
      </c>
      <c r="B5" s="258">
        <v>24</v>
      </c>
      <c r="C5" s="200" t="s">
        <v>102</v>
      </c>
      <c r="D5" s="224">
        <v>0.7</v>
      </c>
      <c r="E5" s="224">
        <f>B5*D5</f>
        <v>16.799999999999997</v>
      </c>
    </row>
    <row r="6" spans="1:5">
      <c r="A6" s="200" t="s">
        <v>895</v>
      </c>
      <c r="B6" s="258">
        <v>24</v>
      </c>
      <c r="C6" s="200" t="s">
        <v>102</v>
      </c>
      <c r="D6" s="224">
        <v>0.76</v>
      </c>
      <c r="E6" s="224">
        <f>B6*D6</f>
        <v>18.240000000000002</v>
      </c>
    </row>
    <row r="7" spans="1:5">
      <c r="A7" s="200" t="s">
        <v>921</v>
      </c>
      <c r="B7" s="258">
        <v>12</v>
      </c>
      <c r="C7" s="200" t="s">
        <v>102</v>
      </c>
      <c r="D7" s="224">
        <v>0.89</v>
      </c>
      <c r="E7" s="224">
        <f>B7*D7</f>
        <v>10.68</v>
      </c>
    </row>
    <row r="8" spans="1:5">
      <c r="A8" s="200" t="s">
        <v>891</v>
      </c>
      <c r="B8" s="258">
        <v>12</v>
      </c>
      <c r="C8" s="200" t="s">
        <v>102</v>
      </c>
      <c r="D8" s="224">
        <v>1.61</v>
      </c>
      <c r="E8" s="224">
        <f>B8*D8</f>
        <v>19.32</v>
      </c>
    </row>
    <row r="9" spans="1:5">
      <c r="A9" s="200" t="s">
        <v>922</v>
      </c>
      <c r="B9" s="258">
        <v>2</v>
      </c>
      <c r="C9" s="200" t="s">
        <v>7</v>
      </c>
      <c r="D9" s="224">
        <v>5.14</v>
      </c>
      <c r="E9" s="224">
        <f>B9*D9</f>
        <v>10.28</v>
      </c>
    </row>
    <row r="10" spans="1:5">
      <c r="A10" s="200" t="s">
        <v>923</v>
      </c>
      <c r="B10" s="258">
        <v>1</v>
      </c>
      <c r="C10" s="200" t="s">
        <v>138</v>
      </c>
      <c r="D10" s="224">
        <v>6.99</v>
      </c>
      <c r="E10" s="224">
        <f>B10*D10</f>
        <v>6.99</v>
      </c>
    </row>
    <row r="11" spans="1:5">
      <c r="A11" s="200" t="s">
        <v>924</v>
      </c>
      <c r="B11" s="258">
        <v>2</v>
      </c>
      <c r="C11" s="200" t="s">
        <v>151</v>
      </c>
      <c r="D11" s="224">
        <v>1.49</v>
      </c>
      <c r="E11" s="224">
        <f>B11*D11</f>
        <v>2.98</v>
      </c>
    </row>
    <row r="12" spans="1:5">
      <c r="A12" s="200" t="s">
        <v>735</v>
      </c>
      <c r="B12" s="258">
        <v>10</v>
      </c>
      <c r="C12" s="200" t="s">
        <v>102</v>
      </c>
      <c r="D12" s="224">
        <v>1.1200000000000001</v>
      </c>
      <c r="E12" s="224">
        <f>B12*D12</f>
        <v>11.200000000000001</v>
      </c>
    </row>
    <row r="13" spans="1:5">
      <c r="A13" s="200" t="s">
        <v>904</v>
      </c>
      <c r="B13" s="258">
        <v>10</v>
      </c>
      <c r="C13" s="200" t="s">
        <v>102</v>
      </c>
      <c r="D13" s="224">
        <v>0.35</v>
      </c>
      <c r="E13" s="224">
        <f>B13*D13</f>
        <v>3.5</v>
      </c>
    </row>
    <row r="14" spans="1:5">
      <c r="A14" s="200" t="s">
        <v>905</v>
      </c>
      <c r="B14" s="258">
        <v>4</v>
      </c>
      <c r="C14" s="200" t="s">
        <v>151</v>
      </c>
      <c r="D14" s="224">
        <v>1.55</v>
      </c>
      <c r="E14" s="224">
        <f>B14*D14</f>
        <v>6.2</v>
      </c>
    </row>
    <row r="15" spans="1:5">
      <c r="A15" s="200" t="s">
        <v>736</v>
      </c>
      <c r="B15" s="258">
        <v>15</v>
      </c>
      <c r="C15" s="200" t="s">
        <v>102</v>
      </c>
      <c r="D15" s="224">
        <v>0.69</v>
      </c>
      <c r="E15" s="224">
        <f>B15*D15</f>
        <v>10.35</v>
      </c>
    </row>
    <row r="16" spans="1:5">
      <c r="A16" s="200" t="s">
        <v>737</v>
      </c>
      <c r="B16" s="258">
        <v>10</v>
      </c>
      <c r="C16" s="200" t="s">
        <v>102</v>
      </c>
      <c r="D16" s="224">
        <v>0.69</v>
      </c>
      <c r="E16" s="224">
        <f>B16*D16</f>
        <v>6.8999999999999995</v>
      </c>
    </row>
    <row r="17" spans="1:5">
      <c r="A17" s="200" t="s">
        <v>913</v>
      </c>
      <c r="B17" s="258">
        <v>3</v>
      </c>
      <c r="C17" s="200" t="s">
        <v>7</v>
      </c>
      <c r="D17" s="224">
        <v>1.64</v>
      </c>
      <c r="E17" s="224">
        <f>B17*D17</f>
        <v>4.92</v>
      </c>
    </row>
    <row r="18" spans="1:5">
      <c r="A18" s="200" t="s">
        <v>912</v>
      </c>
      <c r="B18" s="258">
        <v>1</v>
      </c>
      <c r="C18" s="200" t="s">
        <v>7</v>
      </c>
      <c r="D18" s="224">
        <v>2.09</v>
      </c>
      <c r="E18" s="224">
        <f>B18*D18</f>
        <v>2.09</v>
      </c>
    </row>
    <row r="19" spans="1:5">
      <c r="A19" s="200" t="s">
        <v>909</v>
      </c>
      <c r="B19" s="258">
        <v>3</v>
      </c>
      <c r="C19" s="200" t="s">
        <v>7</v>
      </c>
      <c r="D19" s="224">
        <v>1.71</v>
      </c>
      <c r="E19" s="224">
        <f>B19*D19</f>
        <v>5.13</v>
      </c>
    </row>
    <row r="20" spans="1:5">
      <c r="A20" s="200" t="s">
        <v>925</v>
      </c>
      <c r="B20" s="258">
        <v>1</v>
      </c>
      <c r="C20" s="200" t="s">
        <v>7</v>
      </c>
      <c r="D20" s="224">
        <v>5.26</v>
      </c>
      <c r="E20" s="224">
        <f>B20*D20</f>
        <v>5.26</v>
      </c>
    </row>
    <row r="21" spans="1:5">
      <c r="A21" s="200" t="s">
        <v>926</v>
      </c>
      <c r="B21" s="258">
        <v>0.5</v>
      </c>
      <c r="C21" s="200" t="s">
        <v>7</v>
      </c>
      <c r="D21" s="224">
        <v>5.4</v>
      </c>
      <c r="E21" s="224">
        <f>B21*D21</f>
        <v>2.7</v>
      </c>
    </row>
    <row r="22" spans="1:5">
      <c r="A22" s="259" t="s">
        <v>497</v>
      </c>
      <c r="B22" s="259"/>
      <c r="C22" s="259"/>
      <c r="D22" s="259"/>
      <c r="E22" s="260">
        <f>SUM(E4:E21)</f>
        <v>162.97999999999996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Milan Patel</cp:lastModifiedBy>
  <cp:revision/>
  <dcterms:created xsi:type="dcterms:W3CDTF">2026-02-11T16:55:52Z</dcterms:created>
  <dcterms:modified xsi:type="dcterms:W3CDTF">2026-06-25T13:09:40Z</dcterms:modified>
  <cp:category/>
  <cp:contentStatus/>
</cp:coreProperties>
</file>