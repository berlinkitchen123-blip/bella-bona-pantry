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tables/table2.xml" ContentType="application/vnd.openxmlformats-officedocument.spreadsheetml.table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11/relationships/webextensiontaskpanes" Target="xl/webextensions/taskpanes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15"/>
  <workbookPr/>
  <xr:revisionPtr revIDLastSave="2596" documentId="11_0B1D56BE9CDCCE836B02CE7A5FB0D4A9BBFD1C62" xr6:coauthVersionLast="47" xr6:coauthVersionMax="47" xr10:uidLastSave="{533E6F39-0CCE-4FF0-9858-FC37ED76FB93}"/>
  <bookViews>
    <workbookView xWindow="240" yWindow="105" windowWidth="14805" windowHeight="8010" firstSheet="15" activeTab="15" xr2:uid="{00000000-000D-0000-FFFF-FFFF00000000}"/>
  </bookViews>
  <sheets>
    <sheet name="Delivery 09.03" sheetId="3" r:id="rId1"/>
    <sheet name="Delivery 16.03" sheetId="1" r:id="rId2"/>
    <sheet name="Delivery 23.03" sheetId="2" r:id="rId3"/>
    <sheet name="Delivery 30.03" sheetId="4" r:id="rId4"/>
    <sheet name="Delivery 07.04" sheetId="5" r:id="rId5"/>
    <sheet name="Delivery 13.04" sheetId="6" r:id="rId6"/>
    <sheet name="Delivery 20.04" sheetId="7" r:id="rId7"/>
    <sheet name="Delievery 27.04" sheetId="8" r:id="rId8"/>
    <sheet name="Delivery 05.05" sheetId="9" r:id="rId9"/>
    <sheet name="Delivery 11.05" sheetId="10" r:id="rId10"/>
    <sheet name="Delivery 18.05" sheetId="11" r:id="rId11"/>
    <sheet name="Delivery 26.05" sheetId="13" r:id="rId12"/>
    <sheet name="Delivery 01.06" sheetId="15" r:id="rId13"/>
    <sheet name="Delivery 08.06" sheetId="17" r:id="rId14"/>
    <sheet name="Sheet1" sheetId="16" state="hidden" r:id="rId15"/>
    <sheet name="Delivery 15.06.26" sheetId="18" r:id="rId16"/>
    <sheet name="22.06.26" sheetId="19" r:id="rId1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9" i="19" l="1"/>
  <c r="E28" i="19"/>
  <c r="E27" i="19"/>
  <c r="E26" i="19"/>
  <c r="E25" i="19"/>
  <c r="E24" i="19"/>
  <c r="E23" i="19"/>
  <c r="E22" i="19"/>
  <c r="E21" i="19"/>
  <c r="E20" i="19"/>
  <c r="E19" i="19"/>
  <c r="E18" i="19"/>
  <c r="E17" i="19"/>
  <c r="E16" i="19"/>
  <c r="E15" i="19"/>
  <c r="E14" i="19"/>
  <c r="E13" i="19"/>
  <c r="E12" i="19"/>
  <c r="E11" i="19"/>
  <c r="E10" i="19"/>
  <c r="E9" i="19"/>
  <c r="E8" i="19"/>
  <c r="E7" i="19"/>
  <c r="E6" i="19"/>
  <c r="E5" i="19"/>
  <c r="E4" i="19"/>
  <c r="E30" i="19" s="1"/>
  <c r="D29" i="18"/>
  <c r="D28" i="18"/>
  <c r="D27" i="18"/>
  <c r="D26" i="18"/>
  <c r="D25" i="18"/>
  <c r="D24" i="18"/>
  <c r="D23" i="18"/>
  <c r="D22" i="18"/>
  <c r="D21" i="18"/>
  <c r="D20" i="18"/>
  <c r="D19" i="18"/>
  <c r="D18" i="18"/>
  <c r="D17" i="18"/>
  <c r="D16" i="18"/>
  <c r="D15" i="18"/>
  <c r="D14" i="18"/>
  <c r="D13" i="18"/>
  <c r="D12" i="18"/>
  <c r="D11" i="18"/>
  <c r="D10" i="18"/>
  <c r="D9" i="18"/>
  <c r="D8" i="18"/>
  <c r="D7" i="18"/>
  <c r="D6" i="18"/>
  <c r="D5" i="18"/>
  <c r="D30" i="18" s="1"/>
  <c r="E32" i="17"/>
  <c r="E31" i="17"/>
  <c r="E30" i="17"/>
  <c r="E29" i="17"/>
  <c r="E28" i="17"/>
  <c r="E27" i="17"/>
  <c r="E26" i="17"/>
  <c r="E25" i="17"/>
  <c r="E24" i="17"/>
  <c r="E23" i="17"/>
  <c r="E22" i="17"/>
  <c r="E21" i="17"/>
  <c r="E20" i="17"/>
  <c r="E19" i="17"/>
  <c r="E18" i="17"/>
  <c r="E17" i="17"/>
  <c r="E16" i="17"/>
  <c r="E15" i="17"/>
  <c r="E14" i="17"/>
  <c r="E13" i="17"/>
  <c r="E12" i="17"/>
  <c r="E11" i="17"/>
  <c r="E10" i="17"/>
  <c r="E9" i="17"/>
  <c r="E8" i="17"/>
  <c r="E7" i="17"/>
  <c r="E6" i="17"/>
  <c r="E5" i="17"/>
  <c r="E4" i="17"/>
  <c r="E3" i="17"/>
  <c r="E2" i="17"/>
  <c r="E33" i="17" s="1"/>
  <c r="F33" i="17"/>
  <c r="E2" i="15"/>
  <c r="E3" i="15"/>
  <c r="E4" i="15"/>
  <c r="E5" i="15"/>
  <c r="E6" i="15"/>
  <c r="E7" i="15"/>
  <c r="E8" i="15"/>
  <c r="E9" i="15"/>
  <c r="E10" i="15"/>
  <c r="E11" i="15"/>
  <c r="E12" i="15"/>
  <c r="E13" i="15"/>
  <c r="E14" i="15"/>
  <c r="E15" i="15"/>
  <c r="E16" i="15"/>
  <c r="E17" i="15"/>
  <c r="E18" i="15"/>
  <c r="E19" i="15"/>
  <c r="E20" i="15"/>
  <c r="E21" i="15"/>
  <c r="E22" i="15"/>
  <c r="E23" i="15"/>
  <c r="E24" i="15"/>
  <c r="E25" i="15"/>
  <c r="E24" i="13"/>
  <c r="E23" i="13"/>
  <c r="E22" i="13"/>
  <c r="E21" i="13"/>
  <c r="E20" i="13"/>
  <c r="E19" i="13"/>
  <c r="E18" i="13"/>
  <c r="E17" i="13"/>
  <c r="E16" i="13"/>
  <c r="E15" i="13"/>
  <c r="E14" i="13"/>
  <c r="E13" i="13"/>
  <c r="E12" i="13"/>
  <c r="E11" i="13"/>
  <c r="E10" i="13"/>
  <c r="E9" i="13"/>
  <c r="E25" i="13" s="1"/>
  <c r="E8" i="13"/>
  <c r="E7" i="13"/>
  <c r="E6" i="13"/>
  <c r="E5" i="13"/>
  <c r="E4" i="13"/>
  <c r="E3" i="13"/>
  <c r="E2" i="13"/>
  <c r="E26" i="11"/>
  <c r="E25" i="11"/>
  <c r="E24" i="11"/>
  <c r="E23" i="11"/>
  <c r="E22" i="11"/>
  <c r="E21" i="11"/>
  <c r="E20" i="11"/>
  <c r="E19" i="11"/>
  <c r="E18" i="11"/>
  <c r="E17" i="11"/>
  <c r="E16" i="11"/>
  <c r="E15" i="11"/>
  <c r="E14" i="11"/>
  <c r="E13" i="11"/>
  <c r="E12" i="11"/>
  <c r="E11" i="11"/>
  <c r="E10" i="11"/>
  <c r="E9" i="11"/>
  <c r="E8" i="11"/>
  <c r="E7" i="11"/>
  <c r="E6" i="11"/>
  <c r="E5" i="11"/>
  <c r="E4" i="11"/>
  <c r="E3" i="11"/>
  <c r="E2" i="11"/>
  <c r="E18" i="10"/>
  <c r="E17" i="10"/>
  <c r="E16" i="10"/>
  <c r="E15" i="10"/>
  <c r="E14" i="10"/>
  <c r="E13" i="10"/>
  <c r="E12" i="10"/>
  <c r="E11" i="10"/>
  <c r="E10" i="10"/>
  <c r="E9" i="10"/>
  <c r="E8" i="10"/>
  <c r="E7" i="10"/>
  <c r="E6" i="10"/>
  <c r="E5" i="10"/>
  <c r="E4" i="10"/>
  <c r="E3" i="10"/>
  <c r="E2" i="10"/>
  <c r="E26" i="9"/>
  <c r="E25" i="9"/>
  <c r="E24" i="9"/>
  <c r="E23" i="9"/>
  <c r="E22" i="9"/>
  <c r="E21" i="9"/>
  <c r="E20" i="9"/>
  <c r="E19" i="9"/>
  <c r="E18" i="9"/>
  <c r="E17" i="9"/>
  <c r="E16" i="9"/>
  <c r="E15" i="9"/>
  <c r="E14" i="9"/>
  <c r="E13" i="9"/>
  <c r="E12" i="9"/>
  <c r="E11" i="9"/>
  <c r="E10" i="9"/>
  <c r="E9" i="9"/>
  <c r="E8" i="9"/>
  <c r="E7" i="9"/>
  <c r="E6" i="9"/>
  <c r="E5" i="9"/>
  <c r="E4" i="9"/>
  <c r="E3" i="9"/>
  <c r="E2" i="9"/>
  <c r="G3" i="8"/>
  <c r="G6" i="8"/>
  <c r="G5" i="8"/>
  <c r="G4" i="8"/>
  <c r="G17" i="8"/>
  <c r="G16" i="8"/>
  <c r="G15" i="8"/>
  <c r="G14" i="8"/>
  <c r="G13" i="8"/>
  <c r="G12" i="8"/>
  <c r="G11" i="8"/>
  <c r="G10" i="8"/>
  <c r="G9" i="8"/>
  <c r="G8" i="8"/>
  <c r="G7" i="8"/>
  <c r="G2" i="8"/>
  <c r="G20" i="8" s="1"/>
  <c r="G14" i="7"/>
  <c r="G12" i="7"/>
  <c r="G13" i="7"/>
  <c r="G11" i="7"/>
  <c r="G10" i="7"/>
  <c r="G9" i="7"/>
  <c r="G8" i="7"/>
  <c r="G7" i="7"/>
  <c r="G6" i="7"/>
  <c r="G5" i="7"/>
  <c r="G4" i="7"/>
  <c r="G3" i="7"/>
  <c r="G2" i="7"/>
  <c r="G17" i="7"/>
  <c r="G22" i="6"/>
  <c r="G21" i="6"/>
  <c r="G20" i="6"/>
  <c r="G19" i="6"/>
  <c r="G18" i="6"/>
  <c r="G17" i="6"/>
  <c r="G16" i="6"/>
  <c r="G15" i="6"/>
  <c r="G14" i="6"/>
  <c r="G13" i="6"/>
  <c r="G12" i="6"/>
  <c r="G11" i="6"/>
  <c r="G10" i="6"/>
  <c r="G9" i="6"/>
  <c r="G8" i="6"/>
  <c r="G7" i="6"/>
  <c r="G6" i="6"/>
  <c r="G5" i="6"/>
  <c r="G4" i="6"/>
  <c r="G3" i="6"/>
  <c r="G2" i="6"/>
  <c r="G27" i="6" s="1"/>
  <c r="G31" i="5"/>
  <c r="G23" i="5"/>
  <c r="G19" i="5"/>
  <c r="G13" i="5"/>
  <c r="G5" i="5"/>
  <c r="G4" i="5"/>
  <c r="G3" i="5"/>
  <c r="G2" i="5"/>
  <c r="G25" i="5"/>
  <c r="G24" i="5"/>
  <c r="G22" i="5"/>
  <c r="G21" i="5"/>
  <c r="G20" i="5"/>
  <c r="G18" i="5"/>
  <c r="G17" i="5"/>
  <c r="G16" i="5"/>
  <c r="G15" i="5"/>
  <c r="G14" i="5"/>
  <c r="G12" i="5"/>
  <c r="G11" i="5"/>
  <c r="G10" i="5"/>
  <c r="G9" i="5"/>
  <c r="G8" i="5"/>
  <c r="G7" i="5"/>
  <c r="G6" i="5"/>
  <c r="G40" i="4"/>
  <c r="G38" i="4"/>
  <c r="G37" i="4"/>
  <c r="G36" i="4"/>
  <c r="G35" i="4"/>
  <c r="G34" i="4"/>
  <c r="G33" i="4"/>
  <c r="G32" i="4"/>
  <c r="G31" i="4"/>
  <c r="G30" i="4"/>
  <c r="G29" i="4"/>
  <c r="G28" i="4"/>
  <c r="G27" i="4"/>
  <c r="G26" i="4"/>
  <c r="G25" i="4"/>
  <c r="G24" i="4"/>
  <c r="G20" i="4"/>
  <c r="G19" i="4"/>
  <c r="G18" i="4"/>
  <c r="G22" i="4"/>
  <c r="G21" i="4"/>
  <c r="G16" i="4"/>
  <c r="G15" i="4"/>
  <c r="G14" i="4"/>
  <c r="G13" i="4"/>
  <c r="G12" i="4"/>
  <c r="G11" i="4"/>
  <c r="G10" i="4"/>
  <c r="G9" i="4"/>
  <c r="G8" i="4"/>
  <c r="G7" i="4"/>
  <c r="G6" i="4"/>
  <c r="G5" i="4"/>
  <c r="G4" i="4"/>
  <c r="F43" i="4"/>
  <c r="G25" i="2"/>
  <c r="G30" i="2"/>
  <c r="G28" i="2"/>
  <c r="G29" i="2"/>
  <c r="G27" i="2"/>
  <c r="G26" i="2"/>
  <c r="G24" i="2"/>
  <c r="G23" i="2"/>
  <c r="G36" i="2"/>
  <c r="G35" i="2"/>
  <c r="G34" i="2"/>
  <c r="G31" i="2"/>
  <c r="G20" i="2"/>
  <c r="J38" i="3"/>
  <c r="G38" i="3"/>
  <c r="I37" i="3"/>
  <c r="J37" i="3" s="1"/>
  <c r="G37" i="3"/>
  <c r="I36" i="3"/>
  <c r="J36" i="3" s="1"/>
  <c r="G36" i="3"/>
  <c r="I35" i="3"/>
  <c r="J35" i="3" s="1"/>
  <c r="G35" i="3"/>
  <c r="I34" i="3"/>
  <c r="J34" i="3" s="1"/>
  <c r="G34" i="3"/>
  <c r="J33" i="3"/>
  <c r="G33" i="3"/>
  <c r="C33" i="3"/>
  <c r="I32" i="3"/>
  <c r="J32" i="3" s="1"/>
  <c r="G32" i="3"/>
  <c r="I31" i="3"/>
  <c r="J31" i="3" s="1"/>
  <c r="G31" i="3"/>
  <c r="I30" i="3"/>
  <c r="J30" i="3" s="1"/>
  <c r="G30" i="3"/>
  <c r="I29" i="3"/>
  <c r="J29" i="3" s="1"/>
  <c r="G29" i="3"/>
  <c r="I28" i="3"/>
  <c r="J28" i="3" s="1"/>
  <c r="G28" i="3"/>
  <c r="J27" i="3"/>
  <c r="G27" i="3"/>
  <c r="C27" i="3"/>
  <c r="I26" i="3"/>
  <c r="J26" i="3" s="1"/>
  <c r="G26" i="3"/>
  <c r="I25" i="3"/>
  <c r="J25" i="3" s="1"/>
  <c r="G25" i="3"/>
  <c r="I24" i="3"/>
  <c r="J24" i="3" s="1"/>
  <c r="G24" i="3"/>
  <c r="G23" i="3"/>
  <c r="I22" i="3"/>
  <c r="J22" i="3" s="1"/>
  <c r="G22" i="3"/>
  <c r="I21" i="3"/>
  <c r="J21" i="3" s="1"/>
  <c r="D21" i="3"/>
  <c r="G21" i="3" s="1"/>
  <c r="I20" i="3"/>
  <c r="J20" i="3" s="1"/>
  <c r="G20" i="3"/>
  <c r="I19" i="3"/>
  <c r="J19" i="3" s="1"/>
  <c r="G19" i="3"/>
  <c r="J18" i="3"/>
  <c r="G18" i="3"/>
  <c r="J17" i="3"/>
  <c r="G17" i="3"/>
  <c r="I16" i="3"/>
  <c r="J16" i="3" s="1"/>
  <c r="G16" i="3"/>
  <c r="I15" i="3"/>
  <c r="J15" i="3" s="1"/>
  <c r="G15" i="3"/>
  <c r="I14" i="3"/>
  <c r="J14" i="3" s="1"/>
  <c r="G14" i="3"/>
  <c r="I12" i="3"/>
  <c r="J12" i="3" s="1"/>
  <c r="G12" i="3"/>
  <c r="I11" i="3"/>
  <c r="J11" i="3" s="1"/>
  <c r="G11" i="3"/>
  <c r="I10" i="3"/>
  <c r="J10" i="3" s="1"/>
  <c r="G10" i="3"/>
  <c r="I9" i="3"/>
  <c r="J9" i="3" s="1"/>
  <c r="G9" i="3"/>
  <c r="I5" i="3"/>
  <c r="J5" i="3" s="1"/>
  <c r="G5" i="3"/>
  <c r="I4" i="3"/>
  <c r="J4" i="3" s="1"/>
  <c r="G4" i="3"/>
  <c r="I3" i="3"/>
  <c r="J3" i="3" s="1"/>
  <c r="I44" i="3" s="1"/>
  <c r="G3" i="3"/>
  <c r="F46" i="3" s="1"/>
  <c r="G33" i="2"/>
  <c r="G17" i="2"/>
  <c r="G14" i="2"/>
  <c r="G13" i="2"/>
  <c r="G10" i="2"/>
  <c r="G9" i="2"/>
  <c r="G18" i="2"/>
  <c r="G5" i="2"/>
  <c r="G4" i="2"/>
  <c r="G7" i="2"/>
  <c r="G40" i="2"/>
  <c r="G39" i="2"/>
  <c r="G38" i="2"/>
  <c r="G37" i="2"/>
  <c r="G19" i="2"/>
  <c r="G16" i="2"/>
  <c r="G15" i="2"/>
  <c r="G12" i="2"/>
  <c r="G11" i="2"/>
  <c r="G6" i="2"/>
  <c r="G3" i="2"/>
  <c r="G33" i="1"/>
  <c r="G32" i="1"/>
  <c r="G28" i="1"/>
  <c r="G19" i="1"/>
  <c r="G18" i="1"/>
  <c r="G17" i="1"/>
  <c r="G16" i="1"/>
  <c r="G15" i="1"/>
  <c r="G13" i="1"/>
  <c r="G12" i="1"/>
  <c r="G11" i="1"/>
  <c r="G10" i="1"/>
  <c r="G9" i="1"/>
  <c r="G6" i="1"/>
  <c r="G3" i="1"/>
  <c r="F38" i="1"/>
  <c r="E27" i="11" l="1"/>
  <c r="E19" i="10"/>
  <c r="E27" i="9"/>
  <c r="F43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Milan Patel</author>
  </authors>
  <commentList>
    <comment ref="D10" authorId="0" shapeId="0" xr:uid="{31720E78-E19A-4C22-8707-DBC49C8CFE5C}">
      <text>
        <r>
          <rPr>
            <sz val="11"/>
            <color theme="1"/>
            <rFont val="Aptos Narrow"/>
            <family val="2"/>
            <scheme val="minor"/>
          </rPr>
          <t>Source: Delivery 09.03 (Lions €50.10 / 24 pcs = €2.0875/piece)</t>
        </r>
      </text>
    </comment>
    <comment ref="D11" authorId="0" shapeId="0" xr:uid="{78078887-E390-4BF7-BCEF-03C642E4F991}">
      <text>
        <r>
          <rPr>
            <sz val="11"/>
            <color theme="1"/>
            <rFont val="Aptos Narrow"/>
            <family val="2"/>
            <scheme val="minor"/>
          </rPr>
          <t>Source: Delivery 09.03 (Tuc €6/pkt)</t>
        </r>
      </text>
    </comment>
    <comment ref="D12" authorId="0" shapeId="0" xr:uid="{A3346135-5A19-4A79-9713-142D347B249E}">
      <text>
        <r>
          <rPr>
            <sz val="11"/>
            <color theme="1"/>
            <rFont val="Aptos Narrow"/>
            <family val="2"/>
            <scheme val="minor"/>
          </rPr>
          <t>Source: Delivery 09.03 (Leibniz €6.50/pkt)</t>
        </r>
      </text>
    </comment>
    <comment ref="D18" authorId="0" shapeId="0" xr:uid="{0CA09C72-06BB-403A-84EC-801DA5F93A34}">
      <text>
        <r>
          <rPr>
            <sz val="11"/>
            <color theme="1"/>
            <rFont val="Aptos Narrow"/>
            <family val="2"/>
            <scheme val="minor"/>
          </rPr>
          <t>Source: Delivery 05.05 (True Fruits 250ml @ €1.30)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Milan Patel</author>
  </authors>
  <commentList>
    <comment ref="D2" authorId="0" shapeId="0" xr:uid="{1B1389FD-DB16-4676-987B-373DED55EE32}">
      <text>
        <r>
          <rPr>
            <sz val="11"/>
            <color theme="1"/>
            <rFont val="Aptos Narrow"/>
            <family val="2"/>
            <scheme val="minor"/>
          </rPr>
          <t>Source: Bella Bona Stock Report 30.03.2026 (ChariTea avg ~€1.58/bottle)</t>
        </r>
      </text>
    </comment>
    <comment ref="D3" authorId="0" shapeId="0" xr:uid="{E1A68709-421E-47EF-979A-B6B0C5583F8E}">
      <text>
        <r>
          <rPr>
            <sz val="11"/>
            <color theme="1"/>
            <rFont val="Aptos Narrow"/>
            <family val="2"/>
            <scheme val="minor"/>
          </rPr>
          <t>Source: Bella Bona Stock Report 30.03.2026 (Corny 6-pack €2.29)</t>
        </r>
      </text>
    </comment>
    <comment ref="D4" authorId="0" shapeId="0" xr:uid="{501007F9-1FC7-49DA-9D7E-70B68CF28E6A}">
      <text>
        <r>
          <rPr>
            <sz val="11"/>
            <color theme="1"/>
            <rFont val="Aptos Narrow"/>
            <family val="2"/>
            <scheme val="minor"/>
          </rPr>
          <t>Source: Bella Bona Stock Report 30.03.2026 (Pick Up Original 28g €0.56)</t>
        </r>
      </text>
    </comment>
    <comment ref="D5" authorId="0" shapeId="0" xr:uid="{6C2D6EC6-9F01-45AD-8389-6CC95A325B10}">
      <text>
        <r>
          <rPr>
            <sz val="11"/>
            <color theme="1"/>
            <rFont val="Aptos Narrow"/>
            <family val="2"/>
            <scheme val="minor"/>
          </rPr>
          <t>Source: Delivery 18.05 (Lions €0.53/piece)</t>
        </r>
      </text>
    </comment>
    <comment ref="D6" authorId="0" shapeId="0" xr:uid="{6B9BFC36-6EF1-47F5-8860-08AB00A593FF}">
      <text>
        <r>
          <rPr>
            <sz val="11"/>
            <color theme="1"/>
            <rFont val="Aptos Narrow"/>
            <family val="2"/>
            <scheme val="minor"/>
          </rPr>
          <t>Source: Bella Bona Stock Report 30.03.2026 (Hanuta 10-pack €2.82)</t>
        </r>
      </text>
    </comment>
    <comment ref="D7" authorId="0" shapeId="0" xr:uid="{0444090D-22E3-4A0C-9A7E-0A5708889ED4}">
      <text>
        <r>
          <rPr>
            <sz val="11"/>
            <color theme="1"/>
            <rFont val="Aptos Narrow"/>
            <family val="2"/>
            <scheme val="minor"/>
          </rPr>
          <t>Source: Delivery 18.05 (Manner €1.06/piece)</t>
        </r>
      </text>
    </comment>
    <comment ref="D8" authorId="0" shapeId="0" xr:uid="{27DF51B7-94DB-4DCF-A402-14EBDB1631D8}">
      <text>
        <r>
          <rPr>
            <sz val="11"/>
            <color theme="1"/>
            <rFont val="Aptos Narrow"/>
            <family val="2"/>
            <scheme val="minor"/>
          </rPr>
          <t>Source: Bella Bona Stock Report 30.03.2026 (KitKat Chunky 40g €0.53)</t>
        </r>
      </text>
    </comment>
    <comment ref="D9" authorId="0" shapeId="0" xr:uid="{5FE74FCD-D4B7-4AB1-9E56-89030F22000C}">
      <text>
        <r>
          <rPr>
            <sz val="11"/>
            <color theme="1"/>
            <rFont val="Aptos Narrow"/>
            <family val="2"/>
            <scheme val="minor"/>
          </rPr>
          <t>Source: Delivery 18.05 / 30.03 (KitKat 40g €0.53/piece) — assumed same as KitKat; adjust if different product</t>
        </r>
      </text>
    </comment>
    <comment ref="D10" authorId="0" shapeId="0" xr:uid="{AEC3F8FC-8C02-4818-B8FB-8DD39AE406CA}">
      <text>
        <r>
          <rPr>
            <sz val="11"/>
            <color theme="1"/>
            <rFont val="Aptos Narrow"/>
            <family val="2"/>
            <scheme val="minor"/>
          </rPr>
          <t>Source: Delivery 16.03 (Raffaello €4.77/box)</t>
        </r>
      </text>
    </comment>
    <comment ref="D11" authorId="0" shapeId="0" xr:uid="{FDF50454-D353-4E9C-9634-53244A25F7CB}">
      <text>
        <r>
          <rPr>
            <sz val="11"/>
            <color theme="1"/>
            <rFont val="Aptos Narrow"/>
            <family val="2"/>
            <scheme val="minor"/>
          </rPr>
          <t>Source: Delivery 18.05 (M&amp;M €0.52/piece)</t>
        </r>
      </text>
    </comment>
    <comment ref="D12" authorId="0" shapeId="0" xr:uid="{E707AAE3-3256-487E-BF44-35103280791E}">
      <text>
        <r>
          <rPr>
            <sz val="11"/>
            <color theme="1"/>
            <rFont val="Aptos Narrow"/>
            <family val="2"/>
            <scheme val="minor"/>
          </rPr>
          <t>Source: Delivery 16.03 (Twix €0.55/piece)</t>
        </r>
      </text>
    </comment>
    <comment ref="D13" authorId="0" shapeId="0" xr:uid="{48B8B1EE-2860-463E-BF3F-A8DE03EA52A6}">
      <text>
        <r>
          <rPr>
            <sz val="11"/>
            <color theme="1"/>
            <rFont val="Aptos Narrow"/>
            <family val="2"/>
            <scheme val="minor"/>
          </rPr>
          <t>Source: Delivery 23.03 / 30.03 (Mars Protein €1.73/piece) — adjust if regular Mars</t>
        </r>
      </text>
    </comment>
    <comment ref="D15" authorId="0" shapeId="0" xr:uid="{792E8F4A-C3AF-49AC-A41B-02AC9768BDB1}">
      <text>
        <r>
          <rPr>
            <sz val="11"/>
            <color theme="1"/>
            <rFont val="Aptos Narrow"/>
            <family val="2"/>
            <scheme val="minor"/>
          </rPr>
          <t>Source: Delivery 09.03 (Muesli Kelloggs €15/pack)</t>
        </r>
      </text>
    </comment>
    <comment ref="D16" authorId="0" shapeId="0" xr:uid="{4AFB9B17-61C2-4362-A2C6-061A87F409D8}">
      <text>
        <r>
          <rPr>
            <sz val="11"/>
            <color theme="1"/>
            <rFont val="Aptos Narrow"/>
            <family val="2"/>
            <scheme val="minor"/>
          </rPr>
          <t>Source: Delivery 09.03 (Studenten Futter €0.80/pack)</t>
        </r>
      </text>
    </comment>
    <comment ref="D17" authorId="0" shapeId="0" xr:uid="{57D5B51D-3F65-4C25-AACB-1160DA59A0E3}">
      <text>
        <r>
          <rPr>
            <sz val="11"/>
            <color theme="1"/>
            <rFont val="Aptos Narrow"/>
            <family val="2"/>
            <scheme val="minor"/>
          </rPr>
          <t>Source: Bella Bona Stock Report 30.03.2026 (Kombucha Hibiskus 33cl €1.73)</t>
        </r>
      </text>
    </comment>
    <comment ref="D18" authorId="0" shapeId="0" xr:uid="{E8F4C7F5-5126-40A1-B528-85EB220696BC}">
      <text>
        <r>
          <rPr>
            <sz val="11"/>
            <color theme="1"/>
            <rFont val="Aptos Narrow"/>
            <family val="2"/>
            <scheme val="minor"/>
          </rPr>
          <t>Source: Bella Bona Stock Report 30.03.2026 (Banana €1.64/kg)</t>
        </r>
      </text>
    </comment>
    <comment ref="D19" authorId="0" shapeId="0" xr:uid="{30B4A8DE-75FA-4DDE-BEFA-C2CA81C8F1E6}">
      <text>
        <r>
          <rPr>
            <sz val="11"/>
            <color theme="1"/>
            <rFont val="Aptos Narrow"/>
            <family val="2"/>
            <scheme val="minor"/>
          </rPr>
          <t>Source: Bella Bona Stock Report 30.03.2026 (Orange 3kg box €4.73/kg)</t>
        </r>
      </text>
    </comment>
    <comment ref="D20" authorId="0" shapeId="0" xr:uid="{8FA46FDA-387F-4D7D-B54B-3843749484C9}">
      <text>
        <r>
          <rPr>
            <sz val="11"/>
            <color theme="1"/>
            <rFont val="Aptos Narrow"/>
            <family val="2"/>
            <scheme val="minor"/>
          </rPr>
          <t>Source: Bella Bona Stock Report 30.03.2026 (Apple €2.19/kg)</t>
        </r>
      </text>
    </comment>
    <comment ref="D21" authorId="0" shapeId="0" xr:uid="{92B945B1-7A47-453F-AA80-7A1F11F3E5ED}">
      <text>
        <r>
          <rPr>
            <sz val="11"/>
            <color theme="1"/>
            <rFont val="Aptos Narrow"/>
            <family val="2"/>
            <scheme val="minor"/>
          </rPr>
          <t>Source: Delivery 18.05 (Pears €2.81/kg)</t>
        </r>
      </text>
    </comment>
    <comment ref="D22" authorId="0" shapeId="0" xr:uid="{2461C713-D029-42F9-A64F-93952A879556}">
      <text>
        <r>
          <rPr>
            <sz val="11"/>
            <color theme="1"/>
            <rFont val="Aptos Narrow"/>
            <family val="2"/>
            <scheme val="minor"/>
          </rPr>
          <t>Source: Delivery 18.05 (Grapes Red Seedless €4.66/kg)</t>
        </r>
      </text>
    </comment>
    <comment ref="D23" authorId="0" shapeId="0" xr:uid="{68EFEC72-00F2-4148-9129-663F533DF959}">
      <text>
        <r>
          <rPr>
            <sz val="11"/>
            <color theme="1"/>
            <rFont val="Aptos Narrow"/>
            <family val="2"/>
            <scheme val="minor"/>
          </rPr>
          <t>Source: Delivery 18.05 (Nektarinen €4.39/kg)</t>
        </r>
      </text>
    </comment>
    <comment ref="D24" authorId="0" shapeId="0" xr:uid="{BAD3725E-32A1-49F5-8CA1-8CF0296C1AEA}">
      <text>
        <r>
          <rPr>
            <sz val="11"/>
            <color theme="1"/>
            <rFont val="Aptos Narrow"/>
            <family val="2"/>
            <scheme val="minor"/>
          </rPr>
          <t>Source: Delivery 05.05 (True Fruits 250ml €1.30/bottle)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Milan Patel</author>
  </authors>
  <commentList>
    <comment ref="D2" authorId="0" shapeId="0" xr:uid="{A6951B94-625C-4937-B64C-511A8C2CBEB1}">
      <text>
        <r>
          <rPr>
            <sz val="11"/>
            <color theme="1"/>
            <rFont val="Aptos Narrow"/>
            <family val="2"/>
            <scheme val="minor"/>
          </rPr>
          <t>Source: Delivery 26.05 (ChariTea €1.58/bottle)</t>
        </r>
      </text>
    </comment>
    <comment ref="D3" authorId="0" shapeId="0" xr:uid="{99E0E41E-DDD8-4CAD-8683-ADC7C8056251}">
      <text>
        <r>
          <rPr>
            <sz val="11"/>
            <color theme="1"/>
            <rFont val="Aptos Narrow"/>
            <family val="2"/>
            <scheme val="minor"/>
          </rPr>
          <t>Source: Delivery 26.05 (Kombucha Hibiskus 33cl €1.73)</t>
        </r>
      </text>
    </comment>
    <comment ref="D4" authorId="0" shapeId="0" xr:uid="{36189786-248B-4635-8F48-34FA6A2C6D37}">
      <text>
        <r>
          <rPr>
            <sz val="11"/>
            <color theme="1"/>
            <rFont val="Aptos Narrow"/>
            <family val="2"/>
            <scheme val="minor"/>
          </rPr>
          <t>Source: Bella Bona Stock Report 2026-06-07, FJ Rauch Juice (0.2l)</t>
        </r>
      </text>
    </comment>
    <comment ref="D5" authorId="0" shapeId="0" xr:uid="{7B1ED95B-389A-48C1-9503-843B15E488AA}">
      <text>
        <r>
          <rPr>
            <sz val="11"/>
            <color theme="1"/>
            <rFont val="Aptos Narrow"/>
            <family val="2"/>
            <scheme val="minor"/>
          </rPr>
          <t>Source: Bella Bona Stock Report 2026-06-07, FJ Rauch Orange Juice (0.2l), 28.44/36</t>
        </r>
      </text>
    </comment>
    <comment ref="D6" authorId="0" shapeId="0" xr:uid="{AF3C30D5-C3F1-4093-8586-1711AE8A6ABB}">
      <text>
        <r>
          <rPr>
            <sz val="11"/>
            <color theme="1"/>
            <rFont val="Aptos Narrow"/>
            <family val="2"/>
            <scheme val="minor"/>
          </rPr>
          <t>Source: Bella Bona Stock Report 2026-06-07, Sprite 0.33 l, 21.00/30</t>
        </r>
      </text>
    </comment>
    <comment ref="D7" authorId="0" shapeId="0" xr:uid="{96CD86B7-CC5D-46F1-A66A-84DC983CFD1B}">
      <text>
        <r>
          <rPr>
            <sz val="11"/>
            <color theme="1"/>
            <rFont val="Aptos Narrow"/>
            <family val="2"/>
            <scheme val="minor"/>
          </rPr>
          <t>Source: Bella Bona Stock Report 2026-06-07, Fanta Orange Glass 0.33l, 18.21/24</t>
        </r>
      </text>
    </comment>
    <comment ref="D8" authorId="0" shapeId="0" xr:uid="{471FF128-A7A0-443B-8289-1A8F612E7FBB}">
      <text>
        <r>
          <rPr>
            <sz val="11"/>
            <color theme="1"/>
            <rFont val="Aptos Narrow"/>
            <family val="2"/>
            <scheme val="minor"/>
          </rPr>
          <t>Price reference: Fanta Glass 0.33l (Bella Bona) — Cola Zero not in stock report</t>
        </r>
      </text>
    </comment>
    <comment ref="D9" authorId="0" shapeId="0" xr:uid="{BC480A95-A0F6-47F9-B5C6-FCFE6AAE1AA2}">
      <text>
        <r>
          <rPr>
            <sz val="11"/>
            <color theme="1"/>
            <rFont val="Aptos Narrow"/>
            <family val="2"/>
            <scheme val="minor"/>
          </rPr>
          <t>Price reference: Fanta Glass 0.33l (Bella Bona) — Cola not in stock report</t>
        </r>
      </text>
    </comment>
    <comment ref="D10" authorId="0" shapeId="0" xr:uid="{173344E6-1CA5-440F-BEB3-B9493F52E61E}">
      <text>
        <r>
          <rPr>
            <sz val="11"/>
            <color theme="1"/>
            <rFont val="Aptos Narrow"/>
            <family val="2"/>
            <scheme val="minor"/>
          </rPr>
          <t>Source: Bella Bona Stock Report 2026-06-07, RIOBA Premium Cookies 144 piece, 25.78/2</t>
        </r>
      </text>
    </comment>
    <comment ref="D11" authorId="0" shapeId="0" xr:uid="{A2A97639-77A9-4E42-8843-5A658E6B934E}">
      <text>
        <r>
          <rPr>
            <sz val="11"/>
            <color theme="1"/>
            <rFont val="Aptos Narrow"/>
            <family val="2"/>
            <scheme val="minor"/>
          </rPr>
          <t>Source: Bella Bona Stock Report 2026-06-07, Pringles Sour Cream 40g, 35.64/36</t>
        </r>
      </text>
    </comment>
    <comment ref="D12" authorId="0" shapeId="0" xr:uid="{92EA8CB4-C9B9-49E3-BBD3-6A48969C5952}">
      <text>
        <r>
          <rPr>
            <sz val="11"/>
            <color theme="1"/>
            <rFont val="Aptos Narrow"/>
            <family val="2"/>
            <scheme val="minor"/>
          </rPr>
          <t>Source: Bella Bona Stock Report 2026-06-07, Large Brezel Biscuits (10x40g)</t>
        </r>
      </text>
    </comment>
    <comment ref="D13" authorId="0" shapeId="0" xr:uid="{7E57244A-2440-485B-AADC-2E96AF0EEB31}">
      <text>
        <r>
          <rPr>
            <sz val="11"/>
            <color theme="1"/>
            <rFont val="Aptos Narrow"/>
            <family val="2"/>
            <scheme val="minor"/>
          </rPr>
          <t>Reference: Paypal Delivery 03.06 snack pricing — not in Bella Bona stock report</t>
        </r>
      </text>
    </comment>
    <comment ref="D14" authorId="0" shapeId="0" xr:uid="{9365D923-00F5-4CB6-9054-74B4C0E3112C}">
      <text>
        <r>
          <rPr>
            <sz val="11"/>
            <color theme="1"/>
            <rFont val="Aptos Narrow"/>
            <family val="2"/>
            <scheme val="minor"/>
          </rPr>
          <t>Source: Delivery 26.05 (True Fruits 250ml €1.30/bottle)</t>
        </r>
      </text>
    </comment>
    <comment ref="D15" authorId="0" shapeId="0" xr:uid="{FCD7C40E-D626-473A-81AA-04B73E5FCC47}">
      <text>
        <r>
          <rPr>
            <sz val="11"/>
            <color theme="1"/>
            <rFont val="Aptos Narrow"/>
            <family val="2"/>
            <scheme val="minor"/>
          </rPr>
          <t>Source: Delivery 26.05 (Corny 6-pack €2.29)</t>
        </r>
      </text>
    </comment>
    <comment ref="D16" authorId="0" shapeId="0" xr:uid="{BDC9868C-B1C8-41AE-8F40-0CCF7616C887}">
      <text>
        <r>
          <rPr>
            <sz val="11"/>
            <color theme="1"/>
            <rFont val="Aptos Narrow"/>
            <family val="2"/>
            <scheme val="minor"/>
          </rPr>
          <t>Reference: Paypal Delivery 03.06, Fruit dry 1kg €11.54</t>
        </r>
      </text>
    </comment>
    <comment ref="D17" authorId="0" shapeId="0" xr:uid="{D0D04EE3-A6AA-4B1E-995D-289EE30EB60A}">
      <text>
        <r>
          <rPr>
            <sz val="11"/>
            <color theme="1"/>
            <rFont val="Aptos Narrow"/>
            <family val="2"/>
            <scheme val="minor"/>
          </rPr>
          <t>Source: Delivery 26.05 (Pears €2.81/kg)</t>
        </r>
      </text>
    </comment>
    <comment ref="D18" authorId="0" shapeId="0" xr:uid="{D2BCC46E-E231-4882-80E9-F8D688930FAE}">
      <text>
        <r>
          <rPr>
            <sz val="11"/>
            <color theme="1"/>
            <rFont val="Aptos Narrow"/>
            <family val="2"/>
            <scheme val="minor"/>
          </rPr>
          <t>Source: Delivery 26.05 (Apple €2.19/kg)</t>
        </r>
      </text>
    </comment>
    <comment ref="D19" authorId="0" shapeId="0" xr:uid="{BAA67AC1-2BB6-4D8D-A4D2-FE39E0E1BC81}">
      <text>
        <r>
          <rPr>
            <sz val="11"/>
            <color theme="1"/>
            <rFont val="Aptos Narrow"/>
            <family val="2"/>
            <scheme val="minor"/>
          </rPr>
          <t>Source: Delivery 26.05 (Grapes Red Seedless €4.66/kg)</t>
        </r>
      </text>
    </comment>
    <comment ref="D20" authorId="0" shapeId="0" xr:uid="{D2141498-6BA5-4F3C-8DAE-54424D2A49BE}">
      <text>
        <r>
          <rPr>
            <sz val="11"/>
            <color theme="1"/>
            <rFont val="Aptos Narrow"/>
            <family val="2"/>
            <scheme val="minor"/>
          </rPr>
          <t>Source: Delivery 26.05 (Nektarinen €4.39/kg)</t>
        </r>
      </text>
    </comment>
    <comment ref="D21" authorId="0" shapeId="0" xr:uid="{1485C650-19DC-42BF-AABA-419FE778F5DB}">
      <text>
        <r>
          <rPr>
            <sz val="11"/>
            <color theme="1"/>
            <rFont val="Aptos Narrow"/>
            <family val="2"/>
            <scheme val="minor"/>
          </rPr>
          <t>Source: Bella Bona Stock Report 2026-06-07, Plum 500g (€2.33/kg); matches Paypal 03.06</t>
        </r>
      </text>
    </comment>
    <comment ref="D22" authorId="0" shapeId="0" xr:uid="{C1F98D73-FCB8-4F0E-8C8B-27B8791CCE4B}">
      <text>
        <r>
          <rPr>
            <sz val="11"/>
            <color theme="1"/>
            <rFont val="Aptos Narrow"/>
            <family val="2"/>
            <scheme val="minor"/>
          </rPr>
          <t>Source: Delivery 26.05 (Orange 3kg box €4.73/kg)</t>
        </r>
      </text>
    </comment>
    <comment ref="D23" authorId="0" shapeId="0" xr:uid="{BF3E7D37-F9F4-4D0D-A53B-449D164C9FA9}">
      <text>
        <r>
          <rPr>
            <sz val="11"/>
            <color theme="1"/>
            <rFont val="Aptos Narrow"/>
            <family val="2"/>
            <scheme val="minor"/>
          </rPr>
          <t>Reference: Paypal Delivery 03.06, strawberry €2.83/kg</t>
        </r>
      </text>
    </comment>
    <comment ref="D24" authorId="0" shapeId="0" xr:uid="{1F8A2BC4-5754-4CD8-9F68-BB02923ED538}">
      <text>
        <r>
          <rPr>
            <sz val="11"/>
            <color theme="1"/>
            <rFont val="Aptos Narrow"/>
            <family val="2"/>
            <scheme val="minor"/>
          </rPr>
          <t>Source: Delivery 26.05 (Banana €1.64/kg)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Milan Patel</author>
  </authors>
  <commentList>
    <comment ref="D2" authorId="0" shapeId="0" xr:uid="{F46F8B22-E52B-4A96-BCFA-D3EDB34EDA82}">
      <text>
        <r>
          <rPr>
            <sz val="11"/>
            <color theme="1"/>
            <rFont val="Aptos Narrow"/>
            <family val="2"/>
            <scheme val="minor"/>
          </rPr>
          <t>Source: User-provided reference price list (Merci Petits chocolate collection 1kg x 1 pack — €16.67)</t>
        </r>
      </text>
    </comment>
    <comment ref="D3" authorId="0" shapeId="0" xr:uid="{44F95938-1275-483E-A849-D599CD45C470}">
      <text>
        <r>
          <rPr>
            <sz val="11"/>
            <color theme="1"/>
            <rFont val="Aptos Narrow"/>
            <family val="2"/>
            <scheme val="minor"/>
          </rPr>
          <t>Source: Bella Bona Stock Report 2026-06-14, Corny 6 piece (22.90/10)</t>
        </r>
      </text>
    </comment>
    <comment ref="D4" authorId="0" shapeId="0" xr:uid="{B974923A-B1B1-4CC9-B867-522C7F5137DF}">
      <text>
        <r>
          <rPr>
            <sz val="11"/>
            <color theme="1"/>
            <rFont val="Aptos Narrow"/>
            <family val="2"/>
            <scheme val="minor"/>
          </rPr>
          <t>Source: Bella Bona Stock Report 2026-06-14, Ueltje Studentenfutter 50g (41.65/35)</t>
        </r>
      </text>
    </comment>
    <comment ref="D5" authorId="0" shapeId="0" xr:uid="{D0C9AB65-884B-4E91-9856-82E2FF251439}">
      <text>
        <r>
          <rPr>
            <sz val="11"/>
            <color theme="1"/>
            <rFont val="Aptos Narrow"/>
            <family val="2"/>
            <scheme val="minor"/>
          </rPr>
          <t>Source: Bella Bona Stock Report 2026-06-14, Mars Twix Single 50g (24.00/48)</t>
        </r>
      </text>
    </comment>
    <comment ref="D6" authorId="0" shapeId="0" xr:uid="{1A3A200A-C53E-435D-89E6-DB901B2D0D6D}">
      <text>
        <r>
          <rPr>
            <sz val="11"/>
            <color theme="1"/>
            <rFont val="Aptos Narrow"/>
            <family val="2"/>
            <scheme val="minor"/>
          </rPr>
          <t>Source: Bella Bona Stock Report 2026-06-14, Lion nuts 42g (6.36/12)</t>
        </r>
      </text>
    </comment>
    <comment ref="D7" authorId="0" shapeId="0" xr:uid="{F67EE245-63B8-42AF-8C61-E947D1573683}">
      <text>
        <r>
          <rPr>
            <sz val="11"/>
            <color theme="1"/>
            <rFont val="Aptos Narrow"/>
            <family val="2"/>
            <scheme val="minor"/>
          </rPr>
          <t>Source: Bella Bona Stock Report 2026-06-14, Mars Classic 51g (24.00/48)</t>
        </r>
      </text>
    </comment>
    <comment ref="D8" authorId="0" shapeId="0" xr:uid="{364923CA-ACCC-477F-8DF0-C784E814B963}">
      <text>
        <r>
          <rPr>
            <sz val="11"/>
            <color theme="1"/>
            <rFont val="Aptos Narrow"/>
            <family val="2"/>
            <scheme val="minor"/>
          </rPr>
          <t>Source: Bella Bona Stock Report 2026-06-14, m&amp;m's Crispy 36g (12.48/24)</t>
        </r>
      </text>
    </comment>
    <comment ref="D9" authorId="0" shapeId="0" xr:uid="{5EEED34A-5132-469F-BAAC-5F43C2159D2D}">
      <text>
        <r>
          <rPr>
            <sz val="11"/>
            <color theme="1"/>
            <rFont val="Aptos Narrow"/>
            <family val="2"/>
            <scheme val="minor"/>
          </rPr>
          <t>Source: Delivery 07.04 (Kinder Riegel box of 18 €5.17 -&gt; €0.29/bar); not in current stock</t>
        </r>
      </text>
    </comment>
    <comment ref="D10" authorId="0" shapeId="0" xr:uid="{CA5535FB-CA42-4975-AF0E-3790764F2E28}">
      <text>
        <r>
          <rPr>
            <sz val="11"/>
            <color theme="1"/>
            <rFont val="Aptos Narrow"/>
            <family val="2"/>
            <scheme val="minor"/>
          </rPr>
          <t>Source: Delivery 07.04 / 23.03 (Kitkat €0.53/bar); not in current stock</t>
        </r>
      </text>
    </comment>
    <comment ref="D11" authorId="0" shapeId="0" xr:uid="{E099526E-49F4-4452-97BE-8A0307CCAEAD}">
      <text>
        <r>
          <rPr>
            <sz val="11"/>
            <color theme="1"/>
            <rFont val="Aptos Narrow"/>
            <family val="2"/>
            <scheme val="minor"/>
          </rPr>
          <t>Source: Bella Bona Stock Report 2026-06-14, Large Brezel Biscuits 10x40g (15.96/4)</t>
        </r>
      </text>
    </comment>
    <comment ref="D12" authorId="0" shapeId="0" xr:uid="{B2C2CEA6-9605-4BBD-A081-0DE32F08DE32}">
      <text>
        <r>
          <rPr>
            <sz val="11"/>
            <color theme="1"/>
            <rFont val="Aptos Narrow"/>
            <family val="2"/>
            <scheme val="minor"/>
          </rPr>
          <t>Source: Delivery 09.03 (Tuc €2.79/pack); not in current stock</t>
        </r>
      </text>
    </comment>
    <comment ref="D13" authorId="0" shapeId="0" xr:uid="{B2AC9000-9B84-4D45-B8B1-11AB706D1B79}">
      <text>
        <r>
          <rPr>
            <sz val="11"/>
            <color theme="1"/>
            <rFont val="Aptos Narrow"/>
            <family val="2"/>
            <scheme val="minor"/>
          </rPr>
          <t>Source: Delivery 07.04 (Hafer Musli 1700g €10.05 -&gt; €2.96/500g)</t>
        </r>
      </text>
    </comment>
    <comment ref="D14" authorId="0" shapeId="0" xr:uid="{2517FF58-DE85-47F9-925E-F02EB6730C20}">
      <text>
        <r>
          <rPr>
            <sz val="11"/>
            <color theme="1"/>
            <rFont val="Aptos Narrow"/>
            <family val="2"/>
            <scheme val="minor"/>
          </rPr>
          <t>Source: Bella Bona Stock Report 2026-06-14, ChariTea Black Bottle 330ml (87.45/55)</t>
        </r>
      </text>
    </comment>
    <comment ref="D15" authorId="0" shapeId="0" xr:uid="{4812CB84-563B-445F-83C4-080C9E484A5E}">
      <text>
        <r>
          <rPr>
            <sz val="11"/>
            <color theme="1"/>
            <rFont val="Aptos Narrow"/>
            <family val="2"/>
            <scheme val="minor"/>
          </rPr>
          <t>Source: Bella Bona Stock Report 2026-06-14, Coca Cola Glass 0.33l (19.44/24)</t>
        </r>
      </text>
    </comment>
    <comment ref="D16" authorId="0" shapeId="0" xr:uid="{ABDBFE4A-5E7A-4D05-AB29-D2BD371B1936}">
      <text>
        <r>
          <rPr>
            <sz val="11"/>
            <color theme="1"/>
            <rFont val="Aptos Narrow"/>
            <family val="2"/>
            <scheme val="minor"/>
          </rPr>
          <t>Source: Bella Bona Stock Report 2026-06-14, Coca Cola Light 0.33l (19.44/24)</t>
        </r>
      </text>
    </comment>
    <comment ref="D17" authorId="0" shapeId="0" xr:uid="{8A7071A3-6933-4693-ADEB-D04434053E8C}">
      <text>
        <r>
          <rPr>
            <sz val="11"/>
            <color theme="1"/>
            <rFont val="Aptos Narrow"/>
            <family val="2"/>
            <scheme val="minor"/>
          </rPr>
          <t>Source: Bella Bona Stock Report 2026-06-14, Fanta Orange Glass 0.33l (18.21/24)</t>
        </r>
      </text>
    </comment>
    <comment ref="D18" authorId="0" shapeId="0" xr:uid="{33539BF5-6B41-45E1-B1E5-AC583DB8D776}">
      <text>
        <r>
          <rPr>
            <sz val="11"/>
            <color theme="1"/>
            <rFont val="Aptos Narrow"/>
            <family val="2"/>
            <scheme val="minor"/>
          </rPr>
          <t>Source: Bella Bona Stock Report 2026-06-14, Sprite 0.33l (21.00/30)</t>
        </r>
      </text>
    </comment>
    <comment ref="D19" authorId="0" shapeId="0" xr:uid="{8B1E8A75-0E99-49E0-9FD3-9FAB119919AB}">
      <text>
        <r>
          <rPr>
            <sz val="11"/>
            <color theme="1"/>
            <rFont val="Aptos Narrow"/>
            <family val="2"/>
            <scheme val="minor"/>
          </rPr>
          <t>Source: Delivery 01.06 (True Fruits 250ml €1.30/bottle); not in current stock</t>
        </r>
      </text>
    </comment>
    <comment ref="D20" authorId="0" shapeId="0" xr:uid="{BB68F7D7-89DE-4228-80AD-637DF5648F27}">
      <text>
        <r>
          <rPr>
            <sz val="11"/>
            <color theme="1"/>
            <rFont val="Aptos Narrow"/>
            <family val="2"/>
            <scheme val="minor"/>
          </rPr>
          <t>Source: User-provided reference price list (Beef jerky — €1.14/pack)</t>
        </r>
      </text>
    </comment>
    <comment ref="D21" authorId="0" shapeId="0" xr:uid="{8D1F31A5-BAE6-4D2B-9CAB-B22AD08128E9}">
      <text>
        <r>
          <rPr>
            <sz val="11"/>
            <color theme="1"/>
            <rFont val="Aptos Narrow"/>
            <family val="2"/>
            <scheme val="minor"/>
          </rPr>
          <t>Source: Delivery 01.06 (Pears €2.81/kg)</t>
        </r>
      </text>
    </comment>
    <comment ref="D22" authorId="0" shapeId="0" xr:uid="{7A3EDF84-9640-4026-88EE-AEE5306D9F82}">
      <text>
        <r>
          <rPr>
            <sz val="11"/>
            <color theme="1"/>
            <rFont val="Aptos Narrow"/>
            <family val="2"/>
            <scheme val="minor"/>
          </rPr>
          <t>Source: Delivery 01.06 (Apple €2.19/kg)</t>
        </r>
      </text>
    </comment>
    <comment ref="D23" authorId="0" shapeId="0" xr:uid="{0F4D394A-0480-4D1E-A8F7-800B7B9520F5}">
      <text>
        <r>
          <rPr>
            <sz val="11"/>
            <color theme="1"/>
            <rFont val="Aptos Narrow"/>
            <family val="2"/>
            <scheme val="minor"/>
          </rPr>
          <t>Source: Delivery 01.06 (Grapes Red Seedless €4.66/kg)</t>
        </r>
      </text>
    </comment>
    <comment ref="D24" authorId="0" shapeId="0" xr:uid="{566DB109-0632-4CCF-94BD-EA286DB30DC3}">
      <text>
        <r>
          <rPr>
            <sz val="11"/>
            <color theme="1"/>
            <rFont val="Aptos Narrow"/>
            <family val="2"/>
            <scheme val="minor"/>
          </rPr>
          <t>Source: Delivery 01.06 (Nektarinen €4.39/kg)</t>
        </r>
      </text>
    </comment>
    <comment ref="D25" authorId="0" shapeId="0" xr:uid="{EDB3DF87-4268-4BC1-89F5-1D01BE137AC6}">
      <text>
        <r>
          <rPr>
            <sz val="11"/>
            <color theme="1"/>
            <rFont val="Aptos Narrow"/>
            <family val="2"/>
            <scheme val="minor"/>
          </rPr>
          <t>Source: Delivery 01.06 (Plums €2.33/kg)</t>
        </r>
      </text>
    </comment>
    <comment ref="D26" authorId="0" shapeId="0" xr:uid="{79431E2A-E9FB-40BD-87B4-C2E401176E2B}">
      <text>
        <r>
          <rPr>
            <sz val="11"/>
            <color theme="1"/>
            <rFont val="Aptos Narrow"/>
            <family val="2"/>
            <scheme val="minor"/>
          </rPr>
          <t>Source: Delivery 01.06 (Orange €4.73/kg)</t>
        </r>
      </text>
    </comment>
    <comment ref="D27" authorId="0" shapeId="0" xr:uid="{4B7A808E-E911-4E44-AC0B-1879494AB7F8}">
      <text>
        <r>
          <rPr>
            <sz val="11"/>
            <color theme="1"/>
            <rFont val="Aptos Narrow"/>
            <family val="2"/>
            <scheme val="minor"/>
          </rPr>
          <t>Source: Delivery 01.06 (Strawberry €2.83/kg)</t>
        </r>
      </text>
    </comment>
    <comment ref="D28" authorId="0" shapeId="0" xr:uid="{CA4F5B40-94C1-43ED-AF41-B89DB6EB3F2F}">
      <text>
        <r>
          <rPr>
            <sz val="11"/>
            <color theme="1"/>
            <rFont val="Aptos Narrow"/>
            <family val="2"/>
            <scheme val="minor"/>
          </rPr>
          <t>Source: Delivery 01.06 (Banana €1.64/kg)</t>
        </r>
      </text>
    </comment>
    <comment ref="D29" authorId="0" shapeId="0" xr:uid="{076CC42C-0657-4F52-AF32-3156532A082D}">
      <text>
        <r>
          <rPr>
            <sz val="11"/>
            <color theme="1"/>
            <rFont val="Aptos Narrow"/>
            <family val="2"/>
            <scheme val="minor"/>
          </rPr>
          <t>Source: User-provided reference price list (Apricot — €3.95/kg)</t>
        </r>
      </text>
    </comment>
    <comment ref="D30" authorId="0" shapeId="0" xr:uid="{90DC2627-CE05-4F03-A848-756AB9F53762}">
      <text>
        <r>
          <rPr>
            <sz val="11"/>
            <color theme="1"/>
            <rFont val="Aptos Narrow"/>
            <family val="2"/>
            <scheme val="minor"/>
          </rPr>
          <t>Source: Delivery 30.03 (Kiwi €3.29/kg); not in current stock</t>
        </r>
      </text>
    </comment>
    <comment ref="D31" authorId="0" shapeId="0" xr:uid="{2782AC0D-D585-4E60-85BC-E3E016C6ECA5}">
      <text>
        <r>
          <rPr>
            <sz val="11"/>
            <color theme="1"/>
            <rFont val="Aptos Narrow"/>
            <family val="2"/>
            <scheme val="minor"/>
          </rPr>
          <t>Source: Bella Bona Stock Report 2026-06-14, Grapes Green Seedless 500g (19.56/10 -&gt; €3.91/kg)</t>
        </r>
      </text>
    </comment>
    <comment ref="D32" authorId="0" shapeId="0" xr:uid="{164EF879-AEE2-4A08-AA40-EEAF1EB5C009}">
      <text>
        <r>
          <rPr>
            <sz val="11"/>
            <color theme="1"/>
            <rFont val="Aptos Narrow"/>
            <family val="2"/>
            <scheme val="minor"/>
          </rPr>
          <t>Source: Bella Bona Stock Report 2026-06-14, Carrots 1kg (8.30/4)</t>
        </r>
      </text>
    </comment>
  </commentList>
</comments>
</file>

<file path=xl/sharedStrings.xml><?xml version="1.0" encoding="utf-8"?>
<sst xmlns="http://schemas.openxmlformats.org/spreadsheetml/2006/main" count="926" uniqueCount="387">
  <si>
    <t>Product Name</t>
  </si>
  <si>
    <t>Items per UOP</t>
  </si>
  <si>
    <t>Price per UOP (€)</t>
  </si>
  <si>
    <t>Price per Item (€)</t>
  </si>
  <si>
    <t>Item sent qty</t>
  </si>
  <si>
    <t>Unit</t>
  </si>
  <si>
    <t>Price Sent</t>
  </si>
  <si>
    <t>price on us per item</t>
  </si>
  <si>
    <t>price per unit</t>
  </si>
  <si>
    <t>price on us sent</t>
  </si>
  <si>
    <t>Truefruit</t>
  </si>
  <si>
    <t>pcs</t>
  </si>
  <si>
    <t>Cola</t>
  </si>
  <si>
    <t>btl</t>
  </si>
  <si>
    <t>RIOBA oranagesaft</t>
  </si>
  <si>
    <t>M&amp;M</t>
  </si>
  <si>
    <t>Twix</t>
  </si>
  <si>
    <t>lions</t>
  </si>
  <si>
    <t>Snickers</t>
  </si>
  <si>
    <t>Kinder Cards</t>
  </si>
  <si>
    <t>tuc</t>
  </si>
  <si>
    <t>pack</t>
  </si>
  <si>
    <t>lotus</t>
  </si>
  <si>
    <t xml:space="preserve">Lorenz Saltletts Salzstangen Laugengebäck 
</t>
  </si>
  <si>
    <t xml:space="preserve">Corny </t>
  </si>
  <si>
    <t>Leibniz</t>
  </si>
  <si>
    <t xml:space="preserve">Nutella </t>
  </si>
  <si>
    <t>Pringles (different flavors)</t>
  </si>
  <si>
    <t>Erdnuss</t>
  </si>
  <si>
    <t>Fruit Mix (min 5 type)</t>
  </si>
  <si>
    <t>basket</t>
  </si>
  <si>
    <t xml:space="preserve">Studentenfutter </t>
  </si>
  <si>
    <t>Konfitur</t>
  </si>
  <si>
    <t>Chocolate spread</t>
  </si>
  <si>
    <t xml:space="preserve">ABC crackers </t>
  </si>
  <si>
    <t xml:space="preserve">Sanwiches </t>
  </si>
  <si>
    <t>Roy kombucha raspberry</t>
  </si>
  <si>
    <t>Jelly Haribo Vegan</t>
  </si>
  <si>
    <t>Almond</t>
  </si>
  <si>
    <t>Muesli Kelloggs</t>
  </si>
  <si>
    <t xml:space="preserve">funny-frisch Linsen Chips Paprika </t>
  </si>
  <si>
    <t>Houber Bio Brezel</t>
  </si>
  <si>
    <t>Granola</t>
  </si>
  <si>
    <t>Hanuta</t>
  </si>
  <si>
    <t>Protein bar</t>
  </si>
  <si>
    <t>Fanta</t>
  </si>
  <si>
    <t>Total cost on us</t>
  </si>
  <si>
    <t>Total  price sold</t>
  </si>
  <si>
    <t>Article No.</t>
  </si>
  <si>
    <t>Items</t>
  </si>
  <si>
    <t>Quantity Sent</t>
  </si>
  <si>
    <t>Comments</t>
  </si>
  <si>
    <t>Unit Price</t>
  </si>
  <si>
    <t>Total</t>
  </si>
  <si>
    <t>Pringles Chips</t>
  </si>
  <si>
    <t>Stk</t>
  </si>
  <si>
    <t xml:space="preserve">Kessel Nuse </t>
  </si>
  <si>
    <t>can</t>
  </si>
  <si>
    <t>Redness</t>
  </si>
  <si>
    <t>bowl</t>
  </si>
  <si>
    <t>FulFil Chocolate</t>
  </si>
  <si>
    <t>Box</t>
  </si>
  <si>
    <t xml:space="preserve">M&amp;M </t>
  </si>
  <si>
    <t>Lion</t>
  </si>
  <si>
    <t>Snikers</t>
  </si>
  <si>
    <t>Bueno</t>
  </si>
  <si>
    <t>Riot Orange Juice</t>
  </si>
  <si>
    <t>Bottle</t>
  </si>
  <si>
    <t xml:space="preserve">Bretzel </t>
  </si>
  <si>
    <t>Rauch Orange juice</t>
  </si>
  <si>
    <t>Rauch Strawberry</t>
  </si>
  <si>
    <t>Rauch Cococ Ananas</t>
  </si>
  <si>
    <t>Corny Milch</t>
  </si>
  <si>
    <t>Corny Hafer Kraft</t>
  </si>
  <si>
    <t>Kokao Corny</t>
  </si>
  <si>
    <t>Karamel Corny</t>
  </si>
  <si>
    <t>Celebrations Mix</t>
  </si>
  <si>
    <t>Pkt</t>
  </si>
  <si>
    <t>Brezeln Crosse</t>
  </si>
  <si>
    <t>Mixed Nuts</t>
  </si>
  <si>
    <t>Fruits Mix</t>
  </si>
  <si>
    <t>pkt</t>
  </si>
  <si>
    <t xml:space="preserve">Peanut </t>
  </si>
  <si>
    <t>Rasbarry Kombucha</t>
  </si>
  <si>
    <t>Raffaelo</t>
  </si>
  <si>
    <t xml:space="preserve">Haribo </t>
  </si>
  <si>
    <t>Skittles</t>
  </si>
  <si>
    <t>Charitea Black</t>
  </si>
  <si>
    <t>bottle</t>
  </si>
  <si>
    <t>Fruit Fresh</t>
  </si>
  <si>
    <t>stk</t>
  </si>
  <si>
    <t>kombucha Hybiskus</t>
  </si>
  <si>
    <t>Kombucha Himberine</t>
  </si>
  <si>
    <t xml:space="preserve">True Fruits </t>
  </si>
  <si>
    <t>2x7 Flavors</t>
  </si>
  <si>
    <t>Coke</t>
  </si>
  <si>
    <t>box</t>
  </si>
  <si>
    <t>Figs</t>
  </si>
  <si>
    <t>Banana</t>
  </si>
  <si>
    <t>kg</t>
  </si>
  <si>
    <t>Blueberry</t>
  </si>
  <si>
    <t>125gm</t>
  </si>
  <si>
    <t>Kiwi</t>
  </si>
  <si>
    <t>500gm</t>
  </si>
  <si>
    <t>Corn Flakes</t>
  </si>
  <si>
    <t>8pkt each</t>
  </si>
  <si>
    <t xml:space="preserve">Snickers Creamy </t>
  </si>
  <si>
    <t>Kinder Country</t>
  </si>
  <si>
    <t>Mars Protein</t>
  </si>
  <si>
    <t xml:space="preserve">Mikado </t>
  </si>
  <si>
    <t>Pick up</t>
  </si>
  <si>
    <t>Be-kind Almond fruits Mix</t>
  </si>
  <si>
    <t>Salteletts Sticks</t>
  </si>
  <si>
    <t>Studenten Futter</t>
  </si>
  <si>
    <t>Nut Mix Topping</t>
  </si>
  <si>
    <t>Kitkat</t>
  </si>
  <si>
    <t>Oats hafer</t>
  </si>
  <si>
    <t>Peanut small pkts</t>
  </si>
  <si>
    <t>Oreo</t>
  </si>
  <si>
    <t>Bounty Coconut</t>
  </si>
  <si>
    <t>Grapes</t>
  </si>
  <si>
    <t>Apple</t>
  </si>
  <si>
    <t>Plum</t>
  </si>
  <si>
    <t>Strawberry</t>
  </si>
  <si>
    <t>Charitea red</t>
  </si>
  <si>
    <t>Charitea Green</t>
  </si>
  <si>
    <t>Charitea Mate</t>
  </si>
  <si>
    <t>Cans</t>
  </si>
  <si>
    <t>250ml/bottle</t>
  </si>
  <si>
    <t>Coke  Zero</t>
  </si>
  <si>
    <t>10 stk/box</t>
  </si>
  <si>
    <t xml:space="preserve">Mandel &amp; Sultanine </t>
  </si>
  <si>
    <t>Eat Nature</t>
  </si>
  <si>
    <t>Kombucha EarlyBird</t>
  </si>
  <si>
    <t>Taste of nature  Peanut</t>
  </si>
  <si>
    <t>Taste of nature vegan</t>
  </si>
  <si>
    <t>Taste of nature Apple</t>
  </si>
  <si>
    <t>Taste of nature Protein</t>
  </si>
  <si>
    <t>Corny Banana Chocolate</t>
  </si>
  <si>
    <t>Corny Chocolate</t>
  </si>
  <si>
    <t>Orange</t>
  </si>
  <si>
    <t>Kitkat Chunky</t>
  </si>
  <si>
    <t>5ogm/stk</t>
  </si>
  <si>
    <t>500gm/pkt</t>
  </si>
  <si>
    <t>4piece/pkt</t>
  </si>
  <si>
    <t>Art. Number</t>
  </si>
  <si>
    <t xml:space="preserve">Quantity Sent </t>
  </si>
  <si>
    <t>Hafer Musli Fruits</t>
  </si>
  <si>
    <t>1700gm</t>
  </si>
  <si>
    <t>bretzle box</t>
  </si>
  <si>
    <t>20stk</t>
  </si>
  <si>
    <t>Kinder Riegel</t>
  </si>
  <si>
    <t>1x18</t>
  </si>
  <si>
    <t>mikado</t>
  </si>
  <si>
    <t>Kombucha Hybiskus</t>
  </si>
  <si>
    <t>Be-kind fruits</t>
  </si>
  <si>
    <t>Behind honey nuts and seas salt</t>
  </si>
  <si>
    <t>Bekind dark chocolate</t>
  </si>
  <si>
    <t>Behind crunchy peanut butter</t>
  </si>
  <si>
    <t>Fruit mix</t>
  </si>
  <si>
    <t>fanta</t>
  </si>
  <si>
    <t>biscuits lotus</t>
  </si>
  <si>
    <t>Mix nuts</t>
  </si>
  <si>
    <t>Cocacoa Light</t>
  </si>
  <si>
    <t>Cocacoa</t>
  </si>
  <si>
    <t>Mate Chari tea</t>
  </si>
  <si>
    <t>Matcha Latte</t>
  </si>
  <si>
    <t>250gm/pkt</t>
  </si>
  <si>
    <t xml:space="preserve">Grapes </t>
  </si>
  <si>
    <t>Pick Up</t>
  </si>
  <si>
    <t>24stk</t>
  </si>
  <si>
    <t>Kinder Bueno</t>
  </si>
  <si>
    <t>10stk</t>
  </si>
  <si>
    <t>true Fruits</t>
  </si>
  <si>
    <t>apple</t>
  </si>
  <si>
    <t>Sum</t>
  </si>
  <si>
    <t>Oranges</t>
  </si>
  <si>
    <t>Cocacola</t>
  </si>
  <si>
    <t>Snickers Protein</t>
  </si>
  <si>
    <t>Early Bird Kombucha</t>
  </si>
  <si>
    <t>Granola Original 300gm</t>
  </si>
  <si>
    <t>Granola  COCO Cherry 300gm</t>
  </si>
  <si>
    <t>Granola Choco Sea salt 300gm</t>
  </si>
  <si>
    <t>Milkado</t>
  </si>
  <si>
    <t>Kombucha Earlybird</t>
  </si>
  <si>
    <t>ChariTea Red</t>
  </si>
  <si>
    <t>ChariTea Black</t>
  </si>
  <si>
    <t>ChariTea Bio</t>
  </si>
  <si>
    <t>Kombucha Raspberry</t>
  </si>
  <si>
    <t xml:space="preserve">Sandwich </t>
  </si>
  <si>
    <t>portion</t>
  </si>
  <si>
    <t>Be Kind Protein Crunchy Peanut Butter</t>
  </si>
  <si>
    <t xml:space="preserve">Be Kind protein Dark Chocolate </t>
  </si>
  <si>
    <t>Rauch Orange</t>
  </si>
  <si>
    <t>Quantity</t>
  </si>
  <si>
    <t>Price per unit</t>
  </si>
  <si>
    <t>True Fruits</t>
  </si>
  <si>
    <t>bottle (250ml)</t>
  </si>
  <si>
    <t>Jarritos</t>
  </si>
  <si>
    <t>Himbeeren Kombucha (Roy Bio Raspberry)</t>
  </si>
  <si>
    <t>bottle (33cl)</t>
  </si>
  <si>
    <t>ChariTea</t>
  </si>
  <si>
    <t>bottle (330ml)</t>
  </si>
  <si>
    <t>Corny Peanut Chocolate</t>
  </si>
  <si>
    <t>pack (6 pcs)</t>
  </si>
  <si>
    <t>Corny Kakao Zero</t>
  </si>
  <si>
    <t>pack (5 pcs)</t>
  </si>
  <si>
    <t>pack (10 pcs)</t>
  </si>
  <si>
    <t>Be-Kind Dark Chocolate Nuts</t>
  </si>
  <si>
    <t>box (12 x 40g)</t>
  </si>
  <si>
    <t xml:space="preserve">Chives Pizza </t>
  </si>
  <si>
    <t>piece</t>
  </si>
  <si>
    <t>Mikado</t>
  </si>
  <si>
    <t>Plum 500gm</t>
  </si>
  <si>
    <t>Apricot 500gm</t>
  </si>
  <si>
    <t>Ginger</t>
  </si>
  <si>
    <t>Pears</t>
  </si>
  <si>
    <t>Paprika Mix 500gm</t>
  </si>
  <si>
    <t>Carrots</t>
  </si>
  <si>
    <t>Rauch Green</t>
  </si>
  <si>
    <t>Rauch Apple</t>
  </si>
  <si>
    <t>Rauch Maracuja</t>
  </si>
  <si>
    <t>Coca Cola Glass 0.33 l</t>
  </si>
  <si>
    <t>bottle (0.33 l)</t>
  </si>
  <si>
    <t>Fanta Orange Glass 0.2 l</t>
  </si>
  <si>
    <t>bottle (0.2 l)</t>
  </si>
  <si>
    <t>bottle (330 ml)</t>
  </si>
  <si>
    <t>Roy Bio Himbeere Kombucha (Raspberry)</t>
  </si>
  <si>
    <t>Corny Haselnuss</t>
  </si>
  <si>
    <t>MrBeast Protein</t>
  </si>
  <si>
    <t>Beef Protein</t>
  </si>
  <si>
    <t>ChariTea Bag (Doppelkammer 20 pcs)</t>
  </si>
  <si>
    <t>box (20 pcs)</t>
  </si>
  <si>
    <t>True Fruits Juice</t>
  </si>
  <si>
    <t>Peach 0.5 kg</t>
  </si>
  <si>
    <t>pkt (0.5 kg)</t>
  </si>
  <si>
    <t>Apricot</t>
  </si>
  <si>
    <t>Ginger 200 g</t>
  </si>
  <si>
    <t>pkt (200 g)</t>
  </si>
  <si>
    <t>Pear</t>
  </si>
  <si>
    <t>Lemon 1.5 kg bag</t>
  </si>
  <si>
    <t>bag (1.5 kg)</t>
  </si>
  <si>
    <t>Grapes Red Seedless 500 g</t>
  </si>
  <si>
    <t>pkt (500 g)</t>
  </si>
  <si>
    <t>Corny</t>
  </si>
  <si>
    <t>Haribo</t>
  </si>
  <si>
    <t>pack (75 g)</t>
  </si>
  <si>
    <t>Bunter Mix</t>
  </si>
  <si>
    <t>Pick Up Choco</t>
  </si>
  <si>
    <t>piece (28 g)</t>
  </si>
  <si>
    <t>Manner</t>
  </si>
  <si>
    <t>KitKat</t>
  </si>
  <si>
    <t>piece (40 g)</t>
  </si>
  <si>
    <t>Lions</t>
  </si>
  <si>
    <t>Tuc</t>
  </si>
  <si>
    <t>piece (36 g)</t>
  </si>
  <si>
    <t>Be-Kind Peanut Butter</t>
  </si>
  <si>
    <t>FJ Rauch Maracuja</t>
  </si>
  <si>
    <t>Kombucha Raspberry (Roy Bio Himbeere)</t>
  </si>
  <si>
    <t>Ayran</t>
  </si>
  <si>
    <t>Lemon</t>
  </si>
  <si>
    <t>kg (1.5 kg bag)</t>
  </si>
  <si>
    <t>Grapes (Red Seedless)</t>
  </si>
  <si>
    <t>Nektarinen</t>
  </si>
  <si>
    <t>Pflaumen Blau (Plums)</t>
  </si>
  <si>
    <t>Manner Wein</t>
  </si>
  <si>
    <t>KitKat Riegel</t>
  </si>
  <si>
    <t>Raffaello</t>
  </si>
  <si>
    <t>Mars</t>
  </si>
  <si>
    <t>Beef Jerky</t>
  </si>
  <si>
    <t>Muesli</t>
  </si>
  <si>
    <t>pack (500 g)</t>
  </si>
  <si>
    <t>Kombucha Hibiskus</t>
  </si>
  <si>
    <t>Apple (Apfel)</t>
  </si>
  <si>
    <t>Pears (Birnen)</t>
  </si>
  <si>
    <t>charitea x20</t>
  </si>
  <si>
    <t>Kombucha x8</t>
  </si>
  <si>
    <t>FJR apple touch</t>
  </si>
  <si>
    <t>bottle (0.2l)</t>
  </si>
  <si>
    <t>Orange rauch</t>
  </si>
  <si>
    <t>Sprite</t>
  </si>
  <si>
    <t>bottle (0.33l)</t>
  </si>
  <si>
    <t>Fanta exotic</t>
  </si>
  <si>
    <t>Cola zero</t>
  </si>
  <si>
    <t>Premium biscuit Rioba 144 pcs</t>
  </si>
  <si>
    <t>box (144 pcs)</t>
  </si>
  <si>
    <t>Pringles</t>
  </si>
  <si>
    <t>can (40g)</t>
  </si>
  <si>
    <t>Bretzel Huber 1 box</t>
  </si>
  <si>
    <t>box (10x40g)</t>
  </si>
  <si>
    <t>Fine life snack</t>
  </si>
  <si>
    <t>True fruit</t>
  </si>
  <si>
    <t>Corny package (6 pcs)</t>
  </si>
  <si>
    <t>Fruits mix</t>
  </si>
  <si>
    <t>Grapes red</t>
  </si>
  <si>
    <t>Plums</t>
  </si>
  <si>
    <t>Merci Petits chocolate collection</t>
  </si>
  <si>
    <t>pack (1kg)</t>
  </si>
  <si>
    <t>Studentenfutter to go</t>
  </si>
  <si>
    <t>pack (50g)</t>
  </si>
  <si>
    <t>bar (50g)</t>
  </si>
  <si>
    <t>bar (42g)</t>
  </si>
  <si>
    <t>bar (51g)</t>
  </si>
  <si>
    <t>m&amp;m</t>
  </si>
  <si>
    <t>bag (36g)</t>
  </si>
  <si>
    <t>bar</t>
  </si>
  <si>
    <t>bar (40g)</t>
  </si>
  <si>
    <t>Brezel grosse (10x40g)</t>
  </si>
  <si>
    <t>pack (100g)</t>
  </si>
  <si>
    <t>Muesli 500g</t>
  </si>
  <si>
    <t>pack (500g)</t>
  </si>
  <si>
    <t>Coca Cola</t>
  </si>
  <si>
    <t>D.Cola (Light)</t>
  </si>
  <si>
    <t>True fruits</t>
  </si>
  <si>
    <t>Beef jerky</t>
  </si>
  <si>
    <t>Grapes green</t>
  </si>
  <si>
    <t>Carrot</t>
  </si>
  <si>
    <t>Merci petits chocolate collection 1kgx1pack
Corny x10 packages
Studenten gutter to go x 10
Twix x6
Lion x6
Marsx6
m&amp;m x6
Kinder Riegel x6
Kitkat x6
Brezel 10x2 grosse ( 1 package)
Tuc x2
Muesli 500grx2
Chariteax20
Coca Cola x4
D.cola x 4
Fanta x7
Sprites x 8
+fruits
True fruits x14
Beef jerky x 30</t>
  </si>
  <si>
    <t>Pear.    2kg</t>
  </si>
  <si>
    <t>Apple. 2kg</t>
  </si>
  <si>
    <t>Grapes red.   4x500gm</t>
  </si>
  <si>
    <t>Nektarinen. 1kg</t>
  </si>
  <si>
    <t>Plums.  1kg</t>
  </si>
  <si>
    <t>Orange.   3kg</t>
  </si>
  <si>
    <t>Strawberry. 1kg</t>
  </si>
  <si>
    <t>Banana   3kg</t>
  </si>
  <si>
    <t>Apricot 1kg</t>
  </si>
  <si>
    <t>Kiwi 1kg</t>
  </si>
  <si>
    <t>Garpes green 1kg</t>
  </si>
  <si>
    <t>carrot 1kg</t>
  </si>
  <si>
    <t>Cost Sheet — Delivery 15.06.2026 (Monday)</t>
  </si>
  <si>
    <t>Products</t>
  </si>
  <si>
    <t>Qty</t>
  </si>
  <si>
    <t>Unit Price (€)</t>
  </si>
  <si>
    <t>Line Total (€)</t>
  </si>
  <si>
    <t>Redbull x8</t>
  </si>
  <si>
    <t>Icetea x12</t>
  </si>
  <si>
    <t>Coca Cola x10</t>
  </si>
  <si>
    <t>Charitea x20</t>
  </si>
  <si>
    <t>True fruit x14</t>
  </si>
  <si>
    <t>Kettle black pepper (chips) x3</t>
  </si>
  <si>
    <t>Kettle sea salt (chips) x3</t>
  </si>
  <si>
    <t>Kettle barbecue x3</t>
  </si>
  <si>
    <t>Kettle sea salt &amp; balsamic vinegar x3</t>
  </si>
  <si>
    <t>Wasa French herbs 205g x1</t>
  </si>
  <si>
    <t>Wasa sesame sea salt 205g x1</t>
  </si>
  <si>
    <t>Pop corn 200g x2</t>
  </si>
  <si>
    <t>Party redness 450gr x2</t>
  </si>
  <si>
    <t>Toffifee x1 package</t>
  </si>
  <si>
    <t>Raffaello x1 package</t>
  </si>
  <si>
    <t>Kinder Buhne x1 package (10 pcs)</t>
  </si>
  <si>
    <t>Nicnac x1 package</t>
  </si>
  <si>
    <t>Hanuta x5</t>
  </si>
  <si>
    <t>Mikado x3</t>
  </si>
  <si>
    <t>Nectarine 1kg</t>
  </si>
  <si>
    <t>Strawberry 1kg</t>
  </si>
  <si>
    <t>Orange 3kg</t>
  </si>
  <si>
    <t>Banana 3kg</t>
  </si>
  <si>
    <t>Grapes 3kg</t>
  </si>
  <si>
    <t>TOTAL</t>
  </si>
  <si>
    <t>Pantry Cost — Revolut | Monday 22.06.2026</t>
  </si>
  <si>
    <t>Item</t>
  </si>
  <si>
    <t>Icetea (FJ Rauch 0.33 l)</t>
  </si>
  <si>
    <t>Cola (Coca Cola 0.33 l)</t>
  </si>
  <si>
    <t>Diet cola (Coca Cola Light 0.33 l)</t>
  </si>
  <si>
    <t>Fanta Orange (0.33 l)</t>
  </si>
  <si>
    <t>Sprite (0.33 l)</t>
  </si>
  <si>
    <t>Kombucha (0.33 l)</t>
  </si>
  <si>
    <t>Huober minis (Brezel 40g, 20 pc box)</t>
  </si>
  <si>
    <t>TUC crackers</t>
  </si>
  <si>
    <t>Pringles (40 g)</t>
  </si>
  <si>
    <t>Popcorn (Stenger 200 g)</t>
  </si>
  <si>
    <t>Studentenfutter (Ueltje 50 g)</t>
  </si>
  <si>
    <t>Peanuts (Erdnuss Flips 450 g)</t>
  </si>
  <si>
    <t>Ayran (Gazi 250 ml)</t>
  </si>
  <si>
    <t>Manner schnitten (75 g)</t>
  </si>
  <si>
    <t>Kinder Bueno (10-pack)</t>
  </si>
  <si>
    <t>m&amp;m's (45 g)</t>
  </si>
  <si>
    <t>Kinder Country (1 pc)</t>
  </si>
  <si>
    <t>Pear (per kg)</t>
  </si>
  <si>
    <t>Apple (per kg)</t>
  </si>
  <si>
    <t>Grapes Red Seedless (per kg)</t>
  </si>
  <si>
    <t>Nectarine (per kg)</t>
  </si>
  <si>
    <t>Plum Blau (per kg)</t>
  </si>
  <si>
    <t>Orange (per kg)</t>
  </si>
  <si>
    <t>Strawberry (per kg)</t>
  </si>
  <si>
    <t>Banana (per 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</si>
</sst>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[$€-2]\ * #,##0.00_);_([$€-2]\ * \(#,##0.00\);_([$€-2]\ * &quot;-&quot;??_);_(@_)"/>
    <numFmt numFmtId="165" formatCode="0.0_ "/>
    <numFmt numFmtId="166" formatCode="_ [$€-2]\ * #,##0.00_ ;_ [$€-2]\ * \-#,##0.00_ ;_ [$€-2]\ * &quot;-&quot;??_ ;_ @_ "/>
    <numFmt numFmtId="167" formatCode="\€#,##0.00"/>
    <numFmt numFmtId="168" formatCode="0.##"/>
  </numFmts>
  <fonts count="20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2"/>
      <color rgb="FF000000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6"/>
      <color theme="1"/>
      <name val="Aptos Narrow"/>
      <family val="2"/>
      <scheme val="minor"/>
    </font>
    <font>
      <b/>
      <sz val="11"/>
      <color theme="1"/>
      <name val="Aptos Narrow"/>
    </font>
    <font>
      <sz val="11"/>
      <color theme="1"/>
      <name val="Aptos Narrow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</font>
    <font>
      <b/>
      <sz val="11"/>
      <color rgb="FF000000"/>
      <name val="Aptos Narrow"/>
    </font>
    <font>
      <b/>
      <sz val="14"/>
      <color theme="1"/>
      <name val="Calibri"/>
      <family val="2"/>
      <scheme val="minor"/>
    </font>
    <font>
      <i/>
      <sz val="11"/>
      <color rgb="FF555555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00FF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D9E1F2"/>
        <bgColor rgb="FFD9E1F2"/>
      </patternFill>
    </fill>
    <fill>
      <patternFill patternType="solid">
        <fgColor rgb="FFD9E1F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C0E4F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1F4E7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CE4D6"/>
        <bgColor indexed="64"/>
      </patternFill>
    </fill>
  </fills>
  <borders count="13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double">
        <color auto="1"/>
      </top>
      <bottom/>
      <diagonal/>
    </border>
    <border>
      <left style="thin">
        <color rgb="FF43AEE2"/>
      </left>
      <right style="thin">
        <color rgb="FF43AEE2"/>
      </right>
      <top style="thin">
        <color rgb="FF43AEE2"/>
      </top>
      <bottom style="thin">
        <color rgb="FF43AEE2"/>
      </bottom>
      <diagonal/>
    </border>
    <border>
      <left style="thin">
        <color rgb="FF43AEE2"/>
      </left>
      <right style="thin">
        <color rgb="FF43AEE2"/>
      </right>
      <top style="thin">
        <color rgb="FF43AEE2"/>
      </top>
      <bottom/>
      <diagonal/>
    </border>
    <border>
      <left/>
      <right/>
      <top style="double">
        <color rgb="FF000000"/>
      </top>
      <bottom/>
      <diagonal/>
    </border>
  </borders>
  <cellStyleXfs count="1">
    <xf numFmtId="0" fontId="0" fillId="0" borderId="0"/>
  </cellStyleXfs>
  <cellXfs count="133">
    <xf numFmtId="0" fontId="0" fillId="0" borderId="0" xfId="0"/>
    <xf numFmtId="0" fontId="0" fillId="3" borderId="4" xfId="0" applyFill="1" applyBorder="1" applyAlignment="1">
      <alignment horizontal="center"/>
    </xf>
    <xf numFmtId="0" fontId="0" fillId="4" borderId="2" xfId="0" applyFill="1" applyBorder="1" applyAlignment="1">
      <alignment horizontal="left"/>
    </xf>
    <xf numFmtId="0" fontId="0" fillId="4" borderId="2" xfId="0" applyFill="1" applyBorder="1" applyAlignment="1">
      <alignment horizontal="right"/>
    </xf>
    <xf numFmtId="0" fontId="0" fillId="0" borderId="2" xfId="0" applyBorder="1" applyAlignment="1">
      <alignment horizontal="left"/>
    </xf>
    <xf numFmtId="0" fontId="0" fillId="5" borderId="2" xfId="0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4" borderId="2" xfId="0" applyFill="1" applyBorder="1" applyAlignment="1">
      <alignment horizontal="left" wrapText="1"/>
    </xf>
    <xf numFmtId="0" fontId="0" fillId="4" borderId="0" xfId="0" applyFill="1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164" fontId="1" fillId="2" borderId="2" xfId="0" applyNumberFormat="1" applyFont="1" applyFill="1" applyBorder="1"/>
    <xf numFmtId="49" fontId="2" fillId="2" borderId="1" xfId="0" applyNumberFormat="1" applyFont="1" applyFill="1" applyBorder="1" applyAlignment="1">
      <alignment horizontal="center"/>
    </xf>
    <xf numFmtId="0" fontId="2" fillId="2" borderId="2" xfId="0" applyFont="1" applyFill="1" applyBorder="1" applyAlignment="1">
      <alignment horizontal="left"/>
    </xf>
    <xf numFmtId="0" fontId="2" fillId="2" borderId="3" xfId="0" applyFont="1" applyFill="1" applyBorder="1" applyAlignment="1">
      <alignment horizontal="right"/>
    </xf>
    <xf numFmtId="0" fontId="2" fillId="2" borderId="3" xfId="0" applyFont="1" applyFill="1" applyBorder="1" applyAlignment="1">
      <alignment horizontal="left"/>
    </xf>
    <xf numFmtId="0" fontId="2" fillId="2" borderId="3" xfId="0" applyFont="1" applyFill="1" applyBorder="1" applyAlignment="1">
      <alignment horizontal="center"/>
    </xf>
    <xf numFmtId="164" fontId="2" fillId="2" borderId="3" xfId="0" applyNumberFormat="1" applyFont="1" applyFill="1" applyBorder="1" applyAlignment="1">
      <alignment horizontal="center"/>
    </xf>
    <xf numFmtId="164" fontId="0" fillId="6" borderId="4" xfId="0" applyNumberFormat="1" applyFill="1" applyBorder="1" applyAlignment="1">
      <alignment horizontal="center"/>
    </xf>
    <xf numFmtId="164" fontId="0" fillId="6" borderId="2" xfId="0" applyNumberFormat="1" applyFill="1" applyBorder="1" applyAlignment="1">
      <alignment horizontal="center"/>
    </xf>
    <xf numFmtId="164" fontId="0" fillId="0" borderId="0" xfId="0" applyNumberFormat="1"/>
    <xf numFmtId="164" fontId="0" fillId="7" borderId="2" xfId="0" applyNumberFormat="1" applyFill="1" applyBorder="1" applyAlignment="1">
      <alignment horizontal="center"/>
    </xf>
    <xf numFmtId="0" fontId="3" fillId="9" borderId="2" xfId="0" applyFont="1" applyFill="1" applyBorder="1" applyAlignment="1">
      <alignment horizontal="left" vertical="center"/>
    </xf>
    <xf numFmtId="0" fontId="3" fillId="9" borderId="2" xfId="0" applyFont="1" applyFill="1" applyBorder="1" applyAlignment="1">
      <alignment horizontal="center" vertical="center"/>
    </xf>
    <xf numFmtId="0" fontId="3" fillId="9" borderId="4" xfId="0" applyFont="1" applyFill="1" applyBorder="1" applyAlignment="1">
      <alignment horizontal="center" vertical="center"/>
    </xf>
    <xf numFmtId="0" fontId="3" fillId="9" borderId="6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165" fontId="4" fillId="0" borderId="2" xfId="0" applyNumberFormat="1" applyFont="1" applyBorder="1" applyAlignment="1">
      <alignment horizontal="center" vertical="center"/>
    </xf>
    <xf numFmtId="166" fontId="4" fillId="0" borderId="2" xfId="0" applyNumberFormat="1" applyFont="1" applyBorder="1" applyAlignment="1">
      <alignment horizontal="center" vertical="center"/>
    </xf>
    <xf numFmtId="166" fontId="4" fillId="0" borderId="4" xfId="0" applyNumberFormat="1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64" fontId="0" fillId="0" borderId="6" xfId="0" applyNumberFormat="1" applyBorder="1" applyAlignment="1">
      <alignment horizontal="center" vertical="center"/>
    </xf>
    <xf numFmtId="2" fontId="0" fillId="0" borderId="6" xfId="0" applyNumberFormat="1" applyBorder="1" applyAlignment="1">
      <alignment horizontal="center" vertical="center"/>
    </xf>
    <xf numFmtId="0" fontId="4" fillId="0" borderId="2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center" vertical="center"/>
    </xf>
    <xf numFmtId="0" fontId="4" fillId="0" borderId="3" xfId="0" applyFont="1" applyBorder="1" applyAlignment="1">
      <alignment horizontal="left" vertical="center"/>
    </xf>
    <xf numFmtId="165" fontId="4" fillId="0" borderId="3" xfId="0" applyNumberFormat="1" applyFont="1" applyBorder="1" applyAlignment="1">
      <alignment horizontal="center" vertical="center"/>
    </xf>
    <xf numFmtId="166" fontId="4" fillId="0" borderId="3" xfId="0" applyNumberFormat="1" applyFont="1" applyBorder="1" applyAlignment="1">
      <alignment horizontal="center" vertical="center"/>
    </xf>
    <xf numFmtId="166" fontId="4" fillId="0" borderId="7" xfId="0" applyNumberFormat="1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0" fontId="4" fillId="0" borderId="6" xfId="0" applyFont="1" applyBorder="1" applyAlignment="1">
      <alignment horizontal="left" vertical="center"/>
    </xf>
    <xf numFmtId="165" fontId="4" fillId="0" borderId="6" xfId="0" applyNumberFormat="1" applyFont="1" applyBorder="1" applyAlignment="1">
      <alignment horizontal="center" vertical="center"/>
    </xf>
    <xf numFmtId="166" fontId="4" fillId="0" borderId="6" xfId="0" applyNumberFormat="1" applyFont="1" applyBorder="1" applyAlignment="1">
      <alignment horizontal="center" vertical="center"/>
    </xf>
    <xf numFmtId="0" fontId="4" fillId="0" borderId="0" xfId="0" applyFont="1" applyAlignment="1">
      <alignment horizontal="left"/>
    </xf>
    <xf numFmtId="165" fontId="4" fillId="0" borderId="0" xfId="0" applyNumberFormat="1" applyFont="1" applyAlignment="1">
      <alignment horizontal="center"/>
    </xf>
    <xf numFmtId="166" fontId="4" fillId="0" borderId="0" xfId="0" applyNumberFormat="1" applyFont="1" applyAlignment="1">
      <alignment horizontal="center"/>
    </xf>
    <xf numFmtId="0" fontId="6" fillId="2" borderId="6" xfId="0" applyFont="1" applyFill="1" applyBorder="1"/>
    <xf numFmtId="164" fontId="6" fillId="2" borderId="6" xfId="0" applyNumberFormat="1" applyFont="1" applyFill="1" applyBorder="1"/>
    <xf numFmtId="49" fontId="7" fillId="2" borderId="2" xfId="0" applyNumberFormat="1" applyFont="1" applyFill="1" applyBorder="1" applyAlignment="1">
      <alignment horizontal="center"/>
    </xf>
    <xf numFmtId="0" fontId="7" fillId="2" borderId="2" xfId="0" applyFont="1" applyFill="1" applyBorder="1" applyAlignment="1">
      <alignment horizontal="left"/>
    </xf>
    <xf numFmtId="0" fontId="7" fillId="2" borderId="2" xfId="0" applyFont="1" applyFill="1" applyBorder="1" applyAlignment="1">
      <alignment horizontal="right"/>
    </xf>
    <xf numFmtId="0" fontId="7" fillId="2" borderId="2" xfId="0" applyFont="1" applyFill="1" applyBorder="1" applyAlignment="1">
      <alignment horizontal="center"/>
    </xf>
    <xf numFmtId="164" fontId="7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0" borderId="2" xfId="0" applyBorder="1"/>
    <xf numFmtId="0" fontId="1" fillId="3" borderId="2" xfId="0" applyFont="1" applyFill="1" applyBorder="1" applyAlignment="1">
      <alignment horizontal="center"/>
    </xf>
    <xf numFmtId="0" fontId="0" fillId="3" borderId="2" xfId="0" applyFill="1" applyBorder="1"/>
    <xf numFmtId="0" fontId="0" fillId="3" borderId="2" xfId="0" applyFill="1" applyBorder="1" applyAlignment="1">
      <alignment horizontal="left"/>
    </xf>
    <xf numFmtId="164" fontId="1" fillId="2" borderId="4" xfId="0" applyNumberFormat="1" applyFont="1" applyFill="1" applyBorder="1"/>
    <xf numFmtId="164" fontId="0" fillId="2" borderId="2" xfId="0" applyNumberFormat="1" applyFill="1" applyBorder="1"/>
    <xf numFmtId="0" fontId="1" fillId="10" borderId="0" xfId="0" applyFont="1" applyFill="1" applyAlignment="1">
      <alignment horizontal="center"/>
    </xf>
    <xf numFmtId="167" fontId="0" fillId="0" borderId="0" xfId="0" applyNumberFormat="1"/>
    <xf numFmtId="168" fontId="0" fillId="0" borderId="0" xfId="0" applyNumberFormat="1"/>
    <xf numFmtId="0" fontId="0" fillId="0" borderId="9" xfId="0" applyBorder="1"/>
    <xf numFmtId="0" fontId="1" fillId="11" borderId="9" xfId="0" applyFont="1" applyFill="1" applyBorder="1" applyAlignment="1">
      <alignment horizontal="right"/>
    </xf>
    <xf numFmtId="167" fontId="1" fillId="11" borderId="9" xfId="0" applyNumberFormat="1" applyFont="1" applyFill="1" applyBorder="1"/>
    <xf numFmtId="0" fontId="0" fillId="12" borderId="10" xfId="0" applyFill="1" applyBorder="1"/>
    <xf numFmtId="168" fontId="0" fillId="12" borderId="10" xfId="0" applyNumberFormat="1" applyFill="1" applyBorder="1"/>
    <xf numFmtId="167" fontId="0" fillId="12" borderId="10" xfId="0" applyNumberFormat="1" applyFill="1" applyBorder="1"/>
    <xf numFmtId="0" fontId="0" fillId="0" borderId="10" xfId="0" applyBorder="1"/>
    <xf numFmtId="168" fontId="0" fillId="0" borderId="10" xfId="0" applyNumberFormat="1" applyBorder="1"/>
    <xf numFmtId="167" fontId="0" fillId="0" borderId="10" xfId="0" applyNumberFormat="1" applyBorder="1"/>
    <xf numFmtId="0" fontId="0" fillId="0" borderId="11" xfId="0" applyBorder="1"/>
    <xf numFmtId="168" fontId="0" fillId="0" borderId="11" xfId="0" applyNumberFormat="1" applyBorder="1"/>
    <xf numFmtId="167" fontId="0" fillId="0" borderId="11" xfId="0" applyNumberFormat="1" applyBorder="1"/>
    <xf numFmtId="0" fontId="0" fillId="0" borderId="12" xfId="0" applyBorder="1"/>
    <xf numFmtId="0" fontId="8" fillId="11" borderId="12" xfId="0" applyFont="1" applyFill="1" applyBorder="1" applyAlignment="1">
      <alignment horizontal="right"/>
    </xf>
    <xf numFmtId="0" fontId="8" fillId="11" borderId="12" xfId="0" applyFont="1" applyFill="1" applyBorder="1"/>
    <xf numFmtId="167" fontId="8" fillId="11" borderId="12" xfId="0" applyNumberFormat="1" applyFont="1" applyFill="1" applyBorder="1"/>
    <xf numFmtId="0" fontId="0" fillId="12" borderId="11" xfId="0" applyFill="1" applyBorder="1"/>
    <xf numFmtId="168" fontId="0" fillId="12" borderId="11" xfId="0" applyNumberFormat="1" applyFill="1" applyBorder="1"/>
    <xf numFmtId="167" fontId="0" fillId="12" borderId="11" xfId="0" applyNumberFormat="1" applyFill="1" applyBorder="1"/>
    <xf numFmtId="0" fontId="8" fillId="10" borderId="10" xfId="0" applyFont="1" applyFill="1" applyBorder="1" applyAlignment="1">
      <alignment horizontal="center"/>
    </xf>
    <xf numFmtId="0" fontId="9" fillId="12" borderId="10" xfId="0" applyFont="1" applyFill="1" applyBorder="1"/>
    <xf numFmtId="168" fontId="9" fillId="12" borderId="10" xfId="0" applyNumberFormat="1" applyFont="1" applyFill="1" applyBorder="1"/>
    <xf numFmtId="167" fontId="9" fillId="12" borderId="10" xfId="0" applyNumberFormat="1" applyFont="1" applyFill="1" applyBorder="1"/>
    <xf numFmtId="0" fontId="9" fillId="0" borderId="10" xfId="0" applyFont="1" applyBorder="1"/>
    <xf numFmtId="168" fontId="9" fillId="0" borderId="10" xfId="0" applyNumberFormat="1" applyFont="1" applyBorder="1"/>
    <xf numFmtId="167" fontId="9" fillId="0" borderId="10" xfId="0" applyNumberFormat="1" applyFont="1" applyBorder="1"/>
    <xf numFmtId="0" fontId="9" fillId="0" borderId="11" xfId="0" applyFont="1" applyBorder="1"/>
    <xf numFmtId="168" fontId="9" fillId="0" borderId="11" xfId="0" applyNumberFormat="1" applyFont="1" applyBorder="1"/>
    <xf numFmtId="167" fontId="9" fillId="0" borderId="11" xfId="0" applyNumberFormat="1" applyFont="1" applyBorder="1"/>
    <xf numFmtId="0" fontId="9" fillId="12" borderId="11" xfId="0" applyFont="1" applyFill="1" applyBorder="1"/>
    <xf numFmtId="168" fontId="9" fillId="12" borderId="11" xfId="0" applyNumberFormat="1" applyFont="1" applyFill="1" applyBorder="1"/>
    <xf numFmtId="167" fontId="9" fillId="12" borderId="11" xfId="0" applyNumberFormat="1" applyFont="1" applyFill="1" applyBorder="1"/>
    <xf numFmtId="0" fontId="9" fillId="0" borderId="12" xfId="0" applyFont="1" applyBorder="1"/>
    <xf numFmtId="0" fontId="1" fillId="11" borderId="0" xfId="0" applyFont="1" applyFill="1" applyAlignment="1">
      <alignment horizontal="right"/>
    </xf>
    <xf numFmtId="167" fontId="1" fillId="11" borderId="0" xfId="0" applyNumberFormat="1" applyFont="1" applyFill="1"/>
    <xf numFmtId="0" fontId="10" fillId="10" borderId="0" xfId="0" applyFont="1" applyFill="1" applyAlignment="1">
      <alignment horizontal="center"/>
    </xf>
    <xf numFmtId="168" fontId="0" fillId="0" borderId="2" xfId="0" applyNumberFormat="1" applyBorder="1"/>
    <xf numFmtId="167" fontId="0" fillId="0" borderId="2" xfId="0" applyNumberFormat="1" applyBorder="1"/>
    <xf numFmtId="0" fontId="0" fillId="0" borderId="0" xfId="0" applyAlignment="1">
      <alignment wrapText="1"/>
    </xf>
    <xf numFmtId="0" fontId="0" fillId="13" borderId="2" xfId="0" applyFill="1" applyBorder="1"/>
    <xf numFmtId="0" fontId="12" fillId="10" borderId="2" xfId="0" applyFont="1" applyFill="1" applyBorder="1" applyAlignment="1">
      <alignment horizontal="center"/>
    </xf>
    <xf numFmtId="0" fontId="11" fillId="12" borderId="2" xfId="0" applyFont="1" applyFill="1" applyBorder="1"/>
    <xf numFmtId="168" fontId="11" fillId="12" borderId="2" xfId="0" applyNumberFormat="1" applyFont="1" applyFill="1" applyBorder="1"/>
    <xf numFmtId="167" fontId="11" fillId="12" borderId="2" xfId="0" applyNumberFormat="1" applyFont="1" applyFill="1" applyBorder="1"/>
    <xf numFmtId="0" fontId="11" fillId="0" borderId="2" xfId="0" applyFont="1" applyBorder="1"/>
    <xf numFmtId="168" fontId="11" fillId="0" borderId="2" xfId="0" applyNumberFormat="1" applyFont="1" applyBorder="1"/>
    <xf numFmtId="167" fontId="11" fillId="0" borderId="2" xfId="0" applyNumberFormat="1" applyFont="1" applyBorder="1"/>
    <xf numFmtId="0" fontId="12" fillId="11" borderId="2" xfId="0" applyFont="1" applyFill="1" applyBorder="1" applyAlignment="1">
      <alignment horizontal="right"/>
    </xf>
    <xf numFmtId="167" fontId="12" fillId="11" borderId="2" xfId="0" applyNumberFormat="1" applyFont="1" applyFill="1" applyBorder="1"/>
    <xf numFmtId="0" fontId="13" fillId="0" borderId="0" xfId="0" applyFont="1"/>
    <xf numFmtId="0" fontId="14" fillId="0" borderId="0" xfId="0" applyFont="1"/>
    <xf numFmtId="0" fontId="1" fillId="8" borderId="5" xfId="0" applyFont="1" applyFill="1" applyBorder="1" applyAlignment="1">
      <alignment horizontal="center"/>
    </xf>
    <xf numFmtId="0" fontId="18" fillId="10" borderId="6" xfId="0" applyFont="1" applyFill="1" applyBorder="1"/>
    <xf numFmtId="0" fontId="0" fillId="0" borderId="6" xfId="0" applyBorder="1"/>
    <xf numFmtId="168" fontId="0" fillId="0" borderId="6" xfId="0" applyNumberFormat="1" applyBorder="1"/>
    <xf numFmtId="167" fontId="0" fillId="0" borderId="6" xfId="0" applyNumberFormat="1" applyBorder="1"/>
    <xf numFmtId="0" fontId="18" fillId="16" borderId="6" xfId="0" applyFont="1" applyFill="1" applyBorder="1"/>
    <xf numFmtId="167" fontId="18" fillId="16" borderId="6" xfId="0" applyNumberFormat="1" applyFont="1" applyFill="1" applyBorder="1"/>
    <xf numFmtId="0" fontId="15" fillId="14" borderId="2" xfId="0" applyFont="1" applyFill="1" applyBorder="1" applyAlignment="1">
      <alignment horizontal="left"/>
    </xf>
    <xf numFmtId="0" fontId="15" fillId="14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167" fontId="16" fillId="0" borderId="2" xfId="0" applyNumberFormat="1" applyFont="1" applyBorder="1"/>
    <xf numFmtId="167" fontId="17" fillId="0" borderId="2" xfId="0" applyNumberFormat="1" applyFont="1" applyBorder="1"/>
    <xf numFmtId="167" fontId="16" fillId="15" borderId="2" xfId="0" applyNumberFormat="1" applyFont="1" applyFill="1" applyBorder="1"/>
    <xf numFmtId="167" fontId="17" fillId="15" borderId="2" xfId="0" applyNumberFormat="1" applyFont="1" applyFill="1" applyBorder="1"/>
    <xf numFmtId="0" fontId="18" fillId="10" borderId="2" xfId="0" applyFont="1" applyFill="1" applyBorder="1"/>
    <xf numFmtId="167" fontId="18" fillId="10" borderId="2" xfId="0" applyNumberFormat="1" applyFont="1" applyFill="1" applyBorder="1"/>
    <xf numFmtId="0" fontId="19" fillId="14" borderId="0" xfId="0" applyFont="1" applyFill="1" applyAlignment="1"/>
    <xf numFmtId="0" fontId="0" fillId="0" borderId="0" xfId="0" applyAlignment="1"/>
  </cellXfs>
  <cellStyles count="1">
    <cellStyle name="Normal" xfId="0" builtinId="0"/>
  </cellStyles>
  <dxfs count="8">
    <dxf>
      <numFmt numFmtId="167" formatCode="\€#,##0.00"/>
    </dxf>
    <dxf>
      <numFmt numFmtId="167" formatCode="\€#,##0.00"/>
    </dxf>
    <dxf>
      <numFmt numFmtId="168" formatCode="0.##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D9E1F2"/>
        </patternFill>
      </fill>
      <alignment horizontal="center" vertical="bottom" textRotation="0" wrapText="0" indent="0" justifyLastLine="0" shrinkToFit="0" readingOrder="0"/>
    </dxf>
    <dxf>
      <numFmt numFmtId="167" formatCode="\€#,##0.00"/>
    </dxf>
    <dxf>
      <numFmt numFmtId="167" formatCode="\€#,##0.00"/>
    </dxf>
    <dxf>
      <numFmt numFmtId="168" formatCode="0.##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D9E1F2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A61D21D-FA2B-4EF8-908A-A944D472DF26}" name="DeliveryCostTable" displayName="DeliveryCostTable" ref="A1:E26" totalsRowShown="0" headerRowDxfId="7">
  <autoFilter ref="A1:E26" xr:uid="{2A61D21D-FA2B-4EF8-908A-A944D472DF26}"/>
  <tableColumns count="5">
    <tableColumn id="1" xr3:uid="{737559B8-E889-4CDC-A1E1-C3D229A3B5F7}" name="Items"/>
    <tableColumn id="2" xr3:uid="{876F16D5-57B1-41D3-B7ED-1D1151F5B06D}" name="Quantity" dataDxfId="6"/>
    <tableColumn id="3" xr3:uid="{65E36F45-7ACA-4FE0-A3A5-23D4202E5D63}" name="Unit"/>
    <tableColumn id="4" xr3:uid="{769E6AF8-1E73-4942-B29E-184FF43120A2}" name="Price per unit" dataDxfId="5"/>
    <tableColumn id="5" xr3:uid="{080BD6B0-EECD-4E22-AD83-E4A7839D8D6B}" name="Total" dataDxfId="4">
      <calculatedColumnFormula>IF(D2="","",B2*D2)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A1A79D3-EB39-4E6C-952F-02CBEFBB2B6A}" name="DeliveryCostTable3" displayName="DeliveryCostTable3" ref="A1:E26" totalsRowShown="0" headerRowDxfId="3">
  <autoFilter ref="A1:E26" xr:uid="{2A61D21D-FA2B-4EF8-908A-A944D472DF26}"/>
  <tableColumns count="5">
    <tableColumn id="1" xr3:uid="{35689C75-B174-4E72-9885-117703F35081}" name="Items"/>
    <tableColumn id="2" xr3:uid="{C9AFF655-CA52-4309-A2FD-DA1C8E158B92}" name="Quantity" dataDxfId="2"/>
    <tableColumn id="3" xr3:uid="{5FB8B11A-F46A-4B2A-A50C-0453C394B850}" name="Unit"/>
    <tableColumn id="4" xr3:uid="{CFD7F8FF-7328-4837-A6A0-A0E5043A4467}" name="Price per unit" dataDxfId="1"/>
    <tableColumn id="5" xr3:uid="{255EB0AE-2F24-421D-9E2F-94CC04D9E394}" name="Total" dataDxfId="0">
      <calculatedColumnFormula>IF(D2="","",B2*D2)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CE9B0F9-0A87-4A26-A238-D33A8C5A0AEA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d23158a7-8d18-4e26-b97b-8f2d1247d8a7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3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ED3C4-096B-4C91-87DD-F0E96767C921}">
  <dimension ref="A1:J50"/>
  <sheetViews>
    <sheetView workbookViewId="0">
      <selection activeCell="D11" sqref="D11"/>
    </sheetView>
  </sheetViews>
  <sheetFormatPr defaultRowHeight="15"/>
  <cols>
    <col min="1" max="1" width="39.28515625" bestFit="1" customWidth="1"/>
    <col min="2" max="2" width="14.28515625" bestFit="1" customWidth="1"/>
    <col min="3" max="3" width="16.5703125" bestFit="1" customWidth="1"/>
    <col min="4" max="4" width="16.7109375" bestFit="1" customWidth="1"/>
    <col min="5" max="5" width="16.140625" bestFit="1" customWidth="1"/>
    <col min="6" max="7" width="10" bestFit="1" customWidth="1"/>
    <col min="8" max="8" width="19.140625" bestFit="1" customWidth="1"/>
    <col min="9" max="9" width="13.28515625" bestFit="1" customWidth="1"/>
    <col min="10" max="10" width="15.28515625" bestFit="1" customWidth="1"/>
  </cols>
  <sheetData>
    <row r="1" spans="1:10">
      <c r="A1" s="22" t="s">
        <v>0</v>
      </c>
      <c r="B1" s="23" t="s">
        <v>1</v>
      </c>
      <c r="C1" s="23" t="s">
        <v>2</v>
      </c>
      <c r="D1" s="24" t="s">
        <v>3</v>
      </c>
      <c r="E1" s="25" t="s">
        <v>4</v>
      </c>
      <c r="F1" s="25" t="s">
        <v>5</v>
      </c>
      <c r="G1" s="25" t="s">
        <v>6</v>
      </c>
      <c r="H1" s="25" t="s">
        <v>7</v>
      </c>
      <c r="I1" s="25" t="s">
        <v>8</v>
      </c>
      <c r="J1" s="25" t="s">
        <v>9</v>
      </c>
    </row>
    <row r="2" spans="1:10">
      <c r="A2" s="26"/>
      <c r="B2" s="27"/>
      <c r="C2" s="28"/>
      <c r="D2" s="29"/>
      <c r="E2" s="30"/>
      <c r="F2" s="30"/>
      <c r="G2" s="31"/>
      <c r="H2" s="30"/>
      <c r="I2" s="32"/>
      <c r="J2" s="30"/>
    </row>
    <row r="3" spans="1:10">
      <c r="A3" s="26" t="s">
        <v>10</v>
      </c>
      <c r="B3" s="27">
        <v>6</v>
      </c>
      <c r="C3" s="28">
        <v>21</v>
      </c>
      <c r="D3" s="29">
        <v>3.5</v>
      </c>
      <c r="E3" s="30">
        <v>14</v>
      </c>
      <c r="F3" s="30" t="s">
        <v>11</v>
      </c>
      <c r="G3" s="31">
        <f>E3*D3</f>
        <v>49</v>
      </c>
      <c r="H3" s="30">
        <v>1.39</v>
      </c>
      <c r="I3" s="32">
        <f>H3</f>
        <v>1.39</v>
      </c>
      <c r="J3" s="30">
        <f>I3*E3</f>
        <v>19.459999999999997</v>
      </c>
    </row>
    <row r="4" spans="1:10">
      <c r="A4" s="26" t="s">
        <v>12</v>
      </c>
      <c r="B4" s="27">
        <v>24</v>
      </c>
      <c r="C4" s="28">
        <v>55</v>
      </c>
      <c r="D4" s="29">
        <v>2.2916666666666701</v>
      </c>
      <c r="E4" s="30">
        <v>6</v>
      </c>
      <c r="F4" s="30" t="s">
        <v>13</v>
      </c>
      <c r="G4" s="31">
        <f>E4*D4</f>
        <v>13.750000000000021</v>
      </c>
      <c r="H4" s="30">
        <v>1</v>
      </c>
      <c r="I4" s="32">
        <f>H4</f>
        <v>1</v>
      </c>
      <c r="J4" s="30">
        <f>I4*E4</f>
        <v>6</v>
      </c>
    </row>
    <row r="5" spans="1:10">
      <c r="A5" s="26" t="s">
        <v>14</v>
      </c>
      <c r="B5" s="27">
        <v>24</v>
      </c>
      <c r="C5" s="28">
        <v>73</v>
      </c>
      <c r="D5" s="29">
        <v>3.0416666666666701</v>
      </c>
      <c r="E5" s="30">
        <v>6</v>
      </c>
      <c r="F5" s="30" t="s">
        <v>13</v>
      </c>
      <c r="G5" s="31">
        <f t="shared" ref="G5:G37" si="0">E5*D5</f>
        <v>18.250000000000021</v>
      </c>
      <c r="H5" s="30">
        <v>0.8</v>
      </c>
      <c r="I5" s="32">
        <f>H5</f>
        <v>0.8</v>
      </c>
      <c r="J5" s="30">
        <f>I5*E5</f>
        <v>4.8000000000000007</v>
      </c>
    </row>
    <row r="6" spans="1:10">
      <c r="A6" s="26"/>
      <c r="B6" s="27"/>
      <c r="C6" s="28"/>
      <c r="D6" s="29"/>
      <c r="E6" s="30"/>
      <c r="F6" s="30"/>
      <c r="G6" s="31"/>
      <c r="H6" s="30"/>
      <c r="I6" s="32"/>
      <c r="J6" s="30"/>
    </row>
    <row r="7" spans="1:10">
      <c r="A7" s="26"/>
      <c r="B7" s="27"/>
      <c r="C7" s="28"/>
      <c r="D7" s="29"/>
      <c r="E7" s="30"/>
      <c r="F7" s="30"/>
      <c r="G7" s="31"/>
      <c r="H7" s="30"/>
      <c r="I7" s="32"/>
      <c r="J7" s="30"/>
    </row>
    <row r="8" spans="1:10">
      <c r="A8" s="26"/>
      <c r="B8" s="27"/>
      <c r="C8" s="28"/>
      <c r="D8" s="29"/>
      <c r="E8" s="30"/>
      <c r="F8" s="30"/>
      <c r="G8" s="31"/>
      <c r="H8" s="30"/>
      <c r="I8" s="32"/>
      <c r="J8" s="30"/>
    </row>
    <row r="9" spans="1:10">
      <c r="A9" s="26" t="s">
        <v>15</v>
      </c>
      <c r="B9" s="27">
        <v>24</v>
      </c>
      <c r="C9" s="28">
        <v>52.223999999999997</v>
      </c>
      <c r="D9" s="29">
        <v>2.1760000000000002</v>
      </c>
      <c r="E9" s="30">
        <v>12</v>
      </c>
      <c r="F9" s="30" t="s">
        <v>11</v>
      </c>
      <c r="G9" s="31">
        <f t="shared" si="0"/>
        <v>26.112000000000002</v>
      </c>
      <c r="H9" s="30">
        <v>13.88</v>
      </c>
      <c r="I9" s="32">
        <f>H9/B9</f>
        <v>0.57833333333333337</v>
      </c>
      <c r="J9" s="30">
        <f>I9*E9</f>
        <v>6.94</v>
      </c>
    </row>
    <row r="10" spans="1:10">
      <c r="A10" s="26" t="s">
        <v>16</v>
      </c>
      <c r="B10" s="27">
        <v>24</v>
      </c>
      <c r="C10" s="28">
        <v>50.1</v>
      </c>
      <c r="D10" s="29">
        <v>2.0874999999999999</v>
      </c>
      <c r="E10" s="30">
        <v>6</v>
      </c>
      <c r="F10" s="30" t="s">
        <v>11</v>
      </c>
      <c r="G10" s="31">
        <f t="shared" si="0"/>
        <v>12.524999999999999</v>
      </c>
      <c r="H10" s="30">
        <v>17.440000000000001</v>
      </c>
      <c r="I10" s="32">
        <f>H10/B10</f>
        <v>0.72666666666666668</v>
      </c>
      <c r="J10" s="30">
        <f>I10*E10</f>
        <v>4.3600000000000003</v>
      </c>
    </row>
    <row r="11" spans="1:10">
      <c r="A11" s="33" t="s">
        <v>17</v>
      </c>
      <c r="B11" s="27">
        <v>24</v>
      </c>
      <c r="C11" s="28">
        <v>50.1</v>
      </c>
      <c r="D11" s="29">
        <v>2.0874999999999999</v>
      </c>
      <c r="E11" s="30">
        <v>6</v>
      </c>
      <c r="F11" s="30" t="s">
        <v>11</v>
      </c>
      <c r="G11" s="31">
        <f t="shared" si="0"/>
        <v>12.524999999999999</v>
      </c>
      <c r="H11" s="30">
        <v>12.82</v>
      </c>
      <c r="I11" s="32">
        <f>H11/B11</f>
        <v>0.53416666666666668</v>
      </c>
      <c r="J11" s="30">
        <f>I11*E11</f>
        <v>3.2050000000000001</v>
      </c>
    </row>
    <row r="12" spans="1:10">
      <c r="A12" s="26" t="s">
        <v>18</v>
      </c>
      <c r="B12" s="27">
        <v>24</v>
      </c>
      <c r="C12" s="28">
        <v>50.1</v>
      </c>
      <c r="D12" s="29">
        <v>2.0874999999999999</v>
      </c>
      <c r="E12" s="30">
        <v>6</v>
      </c>
      <c r="F12" s="30" t="s">
        <v>11</v>
      </c>
      <c r="G12" s="31">
        <f t="shared" si="0"/>
        <v>12.524999999999999</v>
      </c>
      <c r="H12" s="30">
        <v>17.440000000000001</v>
      </c>
      <c r="I12" s="32">
        <f>H12/B12</f>
        <v>0.72666666666666668</v>
      </c>
      <c r="J12" s="30">
        <f>I12*E12</f>
        <v>4.3600000000000003</v>
      </c>
    </row>
    <row r="13" spans="1:10">
      <c r="A13" s="26"/>
      <c r="B13" s="27"/>
      <c r="C13" s="28"/>
      <c r="D13" s="29"/>
      <c r="E13" s="30"/>
      <c r="F13" s="30"/>
      <c r="G13" s="31"/>
      <c r="H13" s="30"/>
      <c r="I13" s="32"/>
      <c r="J13" s="30"/>
    </row>
    <row r="14" spans="1:10">
      <c r="A14" s="26" t="s">
        <v>19</v>
      </c>
      <c r="B14" s="27">
        <v>1</v>
      </c>
      <c r="C14" s="28">
        <v>6</v>
      </c>
      <c r="D14" s="29">
        <v>6</v>
      </c>
      <c r="E14" s="30">
        <v>6</v>
      </c>
      <c r="F14" s="30" t="s">
        <v>11</v>
      </c>
      <c r="G14" s="31">
        <f t="shared" si="0"/>
        <v>36</v>
      </c>
      <c r="H14" s="30">
        <v>2.79</v>
      </c>
      <c r="I14" s="32">
        <f>H14/B14</f>
        <v>2.79</v>
      </c>
      <c r="J14" s="30">
        <f>I14*E14</f>
        <v>16.740000000000002</v>
      </c>
    </row>
    <row r="15" spans="1:10">
      <c r="A15" s="26" t="s">
        <v>20</v>
      </c>
      <c r="B15" s="27">
        <v>1</v>
      </c>
      <c r="C15" s="28">
        <v>6</v>
      </c>
      <c r="D15" s="29">
        <v>6</v>
      </c>
      <c r="E15" s="30">
        <v>1</v>
      </c>
      <c r="F15" s="30" t="s">
        <v>21</v>
      </c>
      <c r="G15" s="31">
        <f t="shared" si="0"/>
        <v>6</v>
      </c>
      <c r="H15" s="30">
        <v>2.79</v>
      </c>
      <c r="I15" s="32">
        <f>H15/B15</f>
        <v>2.79</v>
      </c>
      <c r="J15" s="30">
        <f>I15*E15</f>
        <v>2.79</v>
      </c>
    </row>
    <row r="16" spans="1:10">
      <c r="A16" s="33" t="s">
        <v>22</v>
      </c>
      <c r="B16" s="27">
        <v>1</v>
      </c>
      <c r="C16" s="28">
        <v>4</v>
      </c>
      <c r="D16" s="29">
        <v>4</v>
      </c>
      <c r="E16" s="30">
        <v>1</v>
      </c>
      <c r="F16" s="30" t="s">
        <v>21</v>
      </c>
      <c r="G16" s="31">
        <f t="shared" si="0"/>
        <v>4</v>
      </c>
      <c r="H16" s="30">
        <v>2.79</v>
      </c>
      <c r="I16" s="32">
        <f>H16/B16</f>
        <v>2.79</v>
      </c>
      <c r="J16" s="30">
        <f>I16*E16</f>
        <v>2.79</v>
      </c>
    </row>
    <row r="17" spans="1:10">
      <c r="A17" s="26" t="s">
        <v>23</v>
      </c>
      <c r="B17" s="27">
        <v>24</v>
      </c>
      <c r="C17" s="28">
        <v>81.599999999999994</v>
      </c>
      <c r="D17" s="29">
        <v>3.4</v>
      </c>
      <c r="E17" s="30">
        <v>2</v>
      </c>
      <c r="F17" s="30" t="s">
        <v>21</v>
      </c>
      <c r="G17" s="31">
        <f t="shared" si="0"/>
        <v>6.8</v>
      </c>
      <c r="H17" s="30">
        <v>0.95</v>
      </c>
      <c r="I17" s="32"/>
      <c r="J17" s="30">
        <f>H17*E17</f>
        <v>1.9</v>
      </c>
    </row>
    <row r="18" spans="1:10">
      <c r="A18" s="26" t="s">
        <v>24</v>
      </c>
      <c r="B18" s="27">
        <v>6</v>
      </c>
      <c r="C18" s="28">
        <v>11.4</v>
      </c>
      <c r="D18" s="29">
        <v>1.9</v>
      </c>
      <c r="E18" s="30">
        <v>6</v>
      </c>
      <c r="F18" s="30" t="s">
        <v>11</v>
      </c>
      <c r="G18" s="31">
        <f t="shared" si="0"/>
        <v>11.399999999999999</v>
      </c>
      <c r="H18" s="30">
        <v>2.29</v>
      </c>
      <c r="I18" s="30">
        <v>2.29</v>
      </c>
      <c r="J18" s="30">
        <f>I18*E18</f>
        <v>13.74</v>
      </c>
    </row>
    <row r="19" spans="1:10" ht="15.75">
      <c r="A19" s="26" t="s">
        <v>25</v>
      </c>
      <c r="B19" s="27">
        <v>1</v>
      </c>
      <c r="C19" s="28">
        <v>6.5</v>
      </c>
      <c r="D19" s="28">
        <v>6.5</v>
      </c>
      <c r="E19" s="30">
        <v>1</v>
      </c>
      <c r="F19" s="34" t="s">
        <v>21</v>
      </c>
      <c r="G19" s="31">
        <f t="shared" si="0"/>
        <v>6.5</v>
      </c>
      <c r="H19" s="30">
        <v>3.9</v>
      </c>
      <c r="I19" s="32">
        <f>H19/B19</f>
        <v>3.9</v>
      </c>
      <c r="J19" s="30">
        <f>I19*E19</f>
        <v>3.9</v>
      </c>
    </row>
    <row r="20" spans="1:10" ht="15.75">
      <c r="A20" s="26" t="s">
        <v>26</v>
      </c>
      <c r="B20" s="27">
        <v>1</v>
      </c>
      <c r="C20" s="28">
        <v>15</v>
      </c>
      <c r="D20" s="29">
        <v>15</v>
      </c>
      <c r="E20" s="30">
        <v>1</v>
      </c>
      <c r="F20" s="34" t="s">
        <v>21</v>
      </c>
      <c r="G20" s="31">
        <f t="shared" si="0"/>
        <v>15</v>
      </c>
      <c r="H20" s="30">
        <v>11.5</v>
      </c>
      <c r="I20" s="32">
        <f>H20/B20</f>
        <v>11.5</v>
      </c>
      <c r="J20" s="30">
        <f>I20*E20</f>
        <v>11.5</v>
      </c>
    </row>
    <row r="21" spans="1:10">
      <c r="A21" s="26" t="s">
        <v>27</v>
      </c>
      <c r="B21" s="27">
        <v>6</v>
      </c>
      <c r="C21" s="28">
        <v>15</v>
      </c>
      <c r="D21" s="29">
        <f>15/6</f>
        <v>2.5</v>
      </c>
      <c r="E21" s="30">
        <v>6</v>
      </c>
      <c r="F21" s="30" t="s">
        <v>11</v>
      </c>
      <c r="G21" s="31">
        <f t="shared" si="0"/>
        <v>15</v>
      </c>
      <c r="H21" s="30">
        <v>11.88</v>
      </c>
      <c r="I21" s="32">
        <f>H21/B21</f>
        <v>1.9800000000000002</v>
      </c>
      <c r="J21" s="30">
        <f>I21*E21</f>
        <v>11.88</v>
      </c>
    </row>
    <row r="22" spans="1:10">
      <c r="A22" s="26" t="s">
        <v>28</v>
      </c>
      <c r="B22" s="27">
        <v>20</v>
      </c>
      <c r="C22" s="28">
        <v>60</v>
      </c>
      <c r="D22" s="29">
        <v>3</v>
      </c>
      <c r="E22" s="30">
        <v>10</v>
      </c>
      <c r="F22" s="30" t="s">
        <v>11</v>
      </c>
      <c r="G22" s="31">
        <f t="shared" si="0"/>
        <v>30</v>
      </c>
      <c r="H22" s="30">
        <v>16.350000000000001</v>
      </c>
      <c r="I22" s="32">
        <f>H22/B22</f>
        <v>0.81750000000000012</v>
      </c>
      <c r="J22" s="30">
        <f>I22*E22</f>
        <v>8.1750000000000007</v>
      </c>
    </row>
    <row r="23" spans="1:10">
      <c r="A23" s="26" t="s">
        <v>29</v>
      </c>
      <c r="B23" s="27">
        <v>1</v>
      </c>
      <c r="C23" s="28">
        <v>56</v>
      </c>
      <c r="D23" s="29">
        <v>56</v>
      </c>
      <c r="E23" s="30">
        <v>1</v>
      </c>
      <c r="F23" s="30" t="s">
        <v>30</v>
      </c>
      <c r="G23" s="31">
        <f t="shared" si="0"/>
        <v>56</v>
      </c>
      <c r="H23" s="30"/>
      <c r="I23" s="32"/>
      <c r="J23" s="30">
        <v>56</v>
      </c>
    </row>
    <row r="24" spans="1:10">
      <c r="A24" s="26" t="s">
        <v>31</v>
      </c>
      <c r="B24" s="27">
        <v>20</v>
      </c>
      <c r="C24" s="28">
        <v>60</v>
      </c>
      <c r="D24" s="29">
        <v>3</v>
      </c>
      <c r="E24" s="30">
        <v>6</v>
      </c>
      <c r="F24" s="30" t="s">
        <v>11</v>
      </c>
      <c r="G24" s="31">
        <f t="shared" si="0"/>
        <v>18</v>
      </c>
      <c r="H24" s="30">
        <v>23.76</v>
      </c>
      <c r="I24" s="32">
        <f>H24/B24</f>
        <v>1.1880000000000002</v>
      </c>
      <c r="J24" s="30">
        <f>I24*E24</f>
        <v>7.128000000000001</v>
      </c>
    </row>
    <row r="25" spans="1:10" ht="15.75">
      <c r="A25" s="26" t="s">
        <v>32</v>
      </c>
      <c r="B25" s="27">
        <v>1</v>
      </c>
      <c r="C25" s="28">
        <v>15</v>
      </c>
      <c r="D25" s="29">
        <v>15</v>
      </c>
      <c r="E25" s="30">
        <v>1</v>
      </c>
      <c r="F25" s="34" t="s">
        <v>21</v>
      </c>
      <c r="G25" s="31">
        <f t="shared" si="0"/>
        <v>15</v>
      </c>
      <c r="H25" s="30">
        <v>10.9</v>
      </c>
      <c r="I25" s="32">
        <f>H25/B25</f>
        <v>10.9</v>
      </c>
      <c r="J25" s="30">
        <f>I25*E25</f>
        <v>10.9</v>
      </c>
    </row>
    <row r="26" spans="1:10" ht="15.75">
      <c r="A26" s="26" t="s">
        <v>33</v>
      </c>
      <c r="B26" s="27">
        <v>1</v>
      </c>
      <c r="C26" s="28">
        <v>20</v>
      </c>
      <c r="D26" s="29">
        <v>20</v>
      </c>
      <c r="E26" s="30">
        <v>1</v>
      </c>
      <c r="F26" s="34" t="s">
        <v>21</v>
      </c>
      <c r="G26" s="31">
        <f t="shared" si="0"/>
        <v>20</v>
      </c>
      <c r="H26" s="30">
        <v>14.3</v>
      </c>
      <c r="I26" s="32">
        <f>H26/B26</f>
        <v>14.3</v>
      </c>
      <c r="J26" s="30">
        <f>I26*E26</f>
        <v>14.3</v>
      </c>
    </row>
    <row r="27" spans="1:10">
      <c r="A27" s="26" t="s">
        <v>34</v>
      </c>
      <c r="B27" s="27">
        <v>8</v>
      </c>
      <c r="C27" s="28">
        <f>3*8</f>
        <v>24</v>
      </c>
      <c r="D27" s="29">
        <v>3</v>
      </c>
      <c r="E27" s="30">
        <v>5</v>
      </c>
      <c r="F27" s="30" t="s">
        <v>11</v>
      </c>
      <c r="G27" s="31">
        <f t="shared" si="0"/>
        <v>15</v>
      </c>
      <c r="H27" s="30">
        <v>1.67</v>
      </c>
      <c r="I27" s="32"/>
      <c r="J27" s="30">
        <f>H27*E27</f>
        <v>8.35</v>
      </c>
    </row>
    <row r="28" spans="1:10">
      <c r="A28" s="26" t="s">
        <v>35</v>
      </c>
      <c r="B28" s="27">
        <v>1</v>
      </c>
      <c r="C28" s="28">
        <v>4</v>
      </c>
      <c r="D28" s="29">
        <v>4</v>
      </c>
      <c r="E28" s="30">
        <v>5</v>
      </c>
      <c r="F28" s="30" t="s">
        <v>11</v>
      </c>
      <c r="G28" s="31">
        <f t="shared" si="0"/>
        <v>20</v>
      </c>
      <c r="H28" s="30">
        <v>2.42</v>
      </c>
      <c r="I28" s="32">
        <f>H28/B28</f>
        <v>2.42</v>
      </c>
      <c r="J28" s="30">
        <f>I28*E28</f>
        <v>12.1</v>
      </c>
    </row>
    <row r="29" spans="1:10">
      <c r="A29" s="26" t="s">
        <v>36</v>
      </c>
      <c r="B29" s="27">
        <v>24</v>
      </c>
      <c r="C29" s="28">
        <v>96</v>
      </c>
      <c r="D29" s="29">
        <v>4</v>
      </c>
      <c r="E29" s="30">
        <v>6</v>
      </c>
      <c r="F29" s="30" t="s">
        <v>13</v>
      </c>
      <c r="G29" s="31">
        <f t="shared" si="0"/>
        <v>24</v>
      </c>
      <c r="H29" s="30">
        <v>47.25</v>
      </c>
      <c r="I29" s="32">
        <f>H29/B29</f>
        <v>1.96875</v>
      </c>
      <c r="J29" s="30">
        <f>I29*E29</f>
        <v>11.8125</v>
      </c>
    </row>
    <row r="30" spans="1:10">
      <c r="A30" s="26" t="s">
        <v>37</v>
      </c>
      <c r="B30" s="27">
        <v>1</v>
      </c>
      <c r="C30" s="28">
        <v>10</v>
      </c>
      <c r="D30" s="29">
        <v>10</v>
      </c>
      <c r="E30" s="30">
        <v>2</v>
      </c>
      <c r="F30" s="30" t="s">
        <v>21</v>
      </c>
      <c r="G30" s="31">
        <f t="shared" si="0"/>
        <v>20</v>
      </c>
      <c r="H30" s="30">
        <v>6.7</v>
      </c>
      <c r="I30" s="32">
        <f>H30/B30</f>
        <v>6.7</v>
      </c>
      <c r="J30" s="30">
        <f>I30*E30</f>
        <v>13.4</v>
      </c>
    </row>
    <row r="31" spans="1:10">
      <c r="A31" s="26" t="s">
        <v>38</v>
      </c>
      <c r="B31" s="27">
        <v>1</v>
      </c>
      <c r="C31" s="28">
        <v>4</v>
      </c>
      <c r="D31" s="29">
        <v>4</v>
      </c>
      <c r="E31" s="30">
        <v>2</v>
      </c>
      <c r="F31" s="30" t="s">
        <v>11</v>
      </c>
      <c r="G31" s="31">
        <f t="shared" si="0"/>
        <v>8</v>
      </c>
      <c r="H31" s="30">
        <v>2.65</v>
      </c>
      <c r="I31" s="32">
        <f>H31/B31</f>
        <v>2.65</v>
      </c>
      <c r="J31" s="30">
        <f>I31*E31</f>
        <v>5.3</v>
      </c>
    </row>
    <row r="32" spans="1:10" ht="15.75">
      <c r="A32" s="26" t="s">
        <v>39</v>
      </c>
      <c r="B32" s="27">
        <v>1</v>
      </c>
      <c r="C32" s="28">
        <v>15</v>
      </c>
      <c r="D32" s="29">
        <v>15</v>
      </c>
      <c r="E32" s="30">
        <v>1</v>
      </c>
      <c r="F32" s="34" t="s">
        <v>21</v>
      </c>
      <c r="G32" s="31">
        <f t="shared" si="0"/>
        <v>15</v>
      </c>
      <c r="H32" s="30">
        <v>10.6</v>
      </c>
      <c r="I32" s="32">
        <f>H32/B32</f>
        <v>10.6</v>
      </c>
      <c r="J32" s="30">
        <f>I32*E32</f>
        <v>10.6</v>
      </c>
    </row>
    <row r="33" spans="1:10">
      <c r="A33" s="26" t="s">
        <v>40</v>
      </c>
      <c r="B33" s="27">
        <v>6</v>
      </c>
      <c r="C33" s="28">
        <f>3*6</f>
        <v>18</v>
      </c>
      <c r="D33" s="29">
        <v>3</v>
      </c>
      <c r="E33" s="30">
        <v>3</v>
      </c>
      <c r="F33" s="30" t="s">
        <v>11</v>
      </c>
      <c r="G33" s="31">
        <f t="shared" si="0"/>
        <v>9</v>
      </c>
      <c r="H33" s="30">
        <v>1.79</v>
      </c>
      <c r="I33" s="32"/>
      <c r="J33" s="30">
        <f>H33*E33</f>
        <v>5.37</v>
      </c>
    </row>
    <row r="34" spans="1:10">
      <c r="A34" s="26" t="s">
        <v>41</v>
      </c>
      <c r="B34" s="27">
        <v>1</v>
      </c>
      <c r="C34" s="28">
        <v>8</v>
      </c>
      <c r="D34" s="29">
        <v>8</v>
      </c>
      <c r="E34" s="30">
        <v>1</v>
      </c>
      <c r="F34" s="30" t="s">
        <v>13</v>
      </c>
      <c r="G34" s="31">
        <f t="shared" si="0"/>
        <v>8</v>
      </c>
      <c r="H34" s="30">
        <v>6.31</v>
      </c>
      <c r="I34" s="32">
        <f>H34/B34</f>
        <v>6.31</v>
      </c>
      <c r="J34" s="30">
        <f>I34*E34</f>
        <v>6.31</v>
      </c>
    </row>
    <row r="35" spans="1:10" ht="15.75">
      <c r="A35" s="26" t="s">
        <v>42</v>
      </c>
      <c r="B35" s="27">
        <v>1</v>
      </c>
      <c r="C35" s="28">
        <v>14</v>
      </c>
      <c r="D35" s="29">
        <v>14</v>
      </c>
      <c r="E35" s="30">
        <v>1</v>
      </c>
      <c r="F35" s="34" t="s">
        <v>21</v>
      </c>
      <c r="G35" s="31">
        <f t="shared" si="0"/>
        <v>14</v>
      </c>
      <c r="H35" s="30">
        <v>9.9</v>
      </c>
      <c r="I35" s="32">
        <f>H35/B35</f>
        <v>9.9</v>
      </c>
      <c r="J35" s="30">
        <f>I35*E35</f>
        <v>9.9</v>
      </c>
    </row>
    <row r="36" spans="1:10" ht="15.75">
      <c r="A36" s="26" t="s">
        <v>43</v>
      </c>
      <c r="B36" s="27">
        <v>1</v>
      </c>
      <c r="C36" s="28">
        <v>5</v>
      </c>
      <c r="D36" s="29">
        <v>5</v>
      </c>
      <c r="E36" s="30">
        <v>1</v>
      </c>
      <c r="F36" s="34" t="s">
        <v>21</v>
      </c>
      <c r="G36" s="31">
        <f t="shared" si="0"/>
        <v>5</v>
      </c>
      <c r="H36" s="30">
        <v>2.9</v>
      </c>
      <c r="I36" s="32">
        <f>H36/B36</f>
        <v>2.9</v>
      </c>
      <c r="J36" s="30">
        <f>I36*E36</f>
        <v>2.9</v>
      </c>
    </row>
    <row r="37" spans="1:10">
      <c r="A37" s="35" t="s">
        <v>44</v>
      </c>
      <c r="B37" s="36">
        <v>1</v>
      </c>
      <c r="C37" s="37">
        <v>3.5</v>
      </c>
      <c r="D37" s="38">
        <v>3.5</v>
      </c>
      <c r="E37" s="39">
        <v>6</v>
      </c>
      <c r="F37" s="39" t="s">
        <v>11</v>
      </c>
      <c r="G37" s="40">
        <f t="shared" si="0"/>
        <v>21</v>
      </c>
      <c r="H37" s="39">
        <v>1.69</v>
      </c>
      <c r="I37" s="32">
        <f>H37/B37</f>
        <v>1.69</v>
      </c>
      <c r="J37" s="30">
        <f>I37*E37</f>
        <v>10.14</v>
      </c>
    </row>
    <row r="38" spans="1:10">
      <c r="A38" s="41" t="s">
        <v>45</v>
      </c>
      <c r="B38" s="42">
        <v>24</v>
      </c>
      <c r="C38" s="43">
        <v>55</v>
      </c>
      <c r="D38" s="43">
        <v>2.2916666666666701</v>
      </c>
      <c r="E38" s="30">
        <v>6</v>
      </c>
      <c r="F38" s="30" t="s">
        <v>13</v>
      </c>
      <c r="G38" s="31">
        <f>E38*D38</f>
        <v>13.750000000000021</v>
      </c>
      <c r="H38" s="30">
        <v>1</v>
      </c>
      <c r="I38" s="32"/>
      <c r="J38" s="30">
        <f>H38*E38</f>
        <v>6</v>
      </c>
    </row>
    <row r="39" spans="1:10">
      <c r="A39" s="44"/>
      <c r="B39" s="45"/>
      <c r="C39" s="46"/>
      <c r="D39" s="46"/>
    </row>
    <row r="40" spans="1:10">
      <c r="A40" s="44"/>
      <c r="B40" s="45"/>
      <c r="C40" s="46"/>
      <c r="D40" s="46"/>
    </row>
    <row r="41" spans="1:10">
      <c r="A41" s="44"/>
      <c r="B41" s="45"/>
      <c r="C41" s="46"/>
      <c r="D41" s="46"/>
    </row>
    <row r="42" spans="1:10">
      <c r="A42" s="44"/>
      <c r="B42" s="45"/>
      <c r="C42" s="46"/>
      <c r="D42" s="46"/>
    </row>
    <row r="43" spans="1:10">
      <c r="A43" s="44"/>
      <c r="B43" s="45"/>
      <c r="C43" s="46"/>
      <c r="D43" s="46"/>
    </row>
    <row r="44" spans="1:10" ht="15.75">
      <c r="A44" s="44"/>
      <c r="B44" s="45"/>
      <c r="C44" s="46"/>
      <c r="D44" s="46"/>
      <c r="H44" s="47" t="s">
        <v>46</v>
      </c>
      <c r="I44" s="48">
        <f>SUM(J2:J38)</f>
        <v>313.0505</v>
      </c>
    </row>
    <row r="45" spans="1:10">
      <c r="A45" s="44"/>
      <c r="B45" s="45"/>
      <c r="C45" s="46"/>
      <c r="D45" s="46"/>
    </row>
    <row r="46" spans="1:10" ht="15.75">
      <c r="A46" s="44"/>
      <c r="B46" s="45"/>
      <c r="C46" s="46"/>
      <c r="D46" s="46"/>
      <c r="E46" s="47" t="s">
        <v>47</v>
      </c>
      <c r="F46" s="48">
        <f>SUM(G2:G38)</f>
        <v>557.13700000000006</v>
      </c>
    </row>
    <row r="47" spans="1:10">
      <c r="A47" s="44"/>
      <c r="B47" s="45"/>
      <c r="C47" s="46"/>
      <c r="D47" s="46"/>
    </row>
    <row r="48" spans="1:10">
      <c r="A48" s="44"/>
      <c r="B48" s="45"/>
      <c r="C48" s="46"/>
      <c r="D48" s="46"/>
    </row>
    <row r="49" spans="1:4">
      <c r="A49" s="44"/>
      <c r="B49" s="45"/>
      <c r="C49" s="46"/>
      <c r="D49" s="46"/>
    </row>
    <row r="50" spans="1:4">
      <c r="A50" s="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9"/>
  <sheetViews>
    <sheetView workbookViewId="0">
      <selection activeCell="F25" sqref="F25"/>
    </sheetView>
  </sheetViews>
  <sheetFormatPr defaultRowHeight="16.5" customHeight="1"/>
  <cols>
    <col min="1" max="1" width="17.28515625" customWidth="1"/>
    <col min="2" max="2" width="24.140625" customWidth="1"/>
    <col min="3" max="3" width="18.28515625" customWidth="1"/>
    <col min="4" max="4" width="10.5703125" customWidth="1"/>
    <col min="5" max="5" width="15.140625" bestFit="1" customWidth="1"/>
    <col min="6" max="6" width="14.140625" style="20" customWidth="1"/>
    <col min="7" max="7" width="13.85546875" style="20" customWidth="1"/>
  </cols>
  <sheetData>
    <row r="1" spans="1:7" ht="16.5" customHeight="1">
      <c r="A1" s="115">
        <v>2026</v>
      </c>
      <c r="B1" s="115"/>
      <c r="C1" s="115"/>
      <c r="D1" s="115"/>
      <c r="E1" s="115"/>
      <c r="F1" s="115"/>
      <c r="G1" s="115"/>
    </row>
    <row r="2" spans="1:7" ht="16.5" customHeight="1">
      <c r="A2" s="12" t="s">
        <v>48</v>
      </c>
      <c r="B2" s="13" t="s">
        <v>49</v>
      </c>
      <c r="C2" s="14" t="s">
        <v>50</v>
      </c>
      <c r="D2" s="15" t="s">
        <v>5</v>
      </c>
      <c r="E2" s="16" t="s">
        <v>51</v>
      </c>
      <c r="F2" s="17" t="s">
        <v>52</v>
      </c>
      <c r="G2" s="17" t="s">
        <v>53</v>
      </c>
    </row>
    <row r="3" spans="1:7" ht="16.5" customHeight="1">
      <c r="A3" s="1"/>
      <c r="B3" s="2" t="s">
        <v>54</v>
      </c>
      <c r="C3" s="3">
        <v>6</v>
      </c>
      <c r="D3" s="4" t="s">
        <v>55</v>
      </c>
      <c r="E3" s="5"/>
      <c r="F3" s="18">
        <v>2.5</v>
      </c>
      <c r="G3" s="21">
        <f>F3*C3</f>
        <v>15</v>
      </c>
    </row>
    <row r="4" spans="1:7" ht="16.5" customHeight="1">
      <c r="A4" s="1"/>
      <c r="B4" s="2" t="s">
        <v>56</v>
      </c>
      <c r="C4" s="3">
        <v>5</v>
      </c>
      <c r="D4" s="4" t="s">
        <v>55</v>
      </c>
      <c r="E4" s="5"/>
      <c r="F4" s="18">
        <v>2</v>
      </c>
      <c r="G4" s="21">
        <v>10</v>
      </c>
    </row>
    <row r="5" spans="1:7" ht="16.5" customHeight="1">
      <c r="A5" s="1"/>
      <c r="B5" s="2" t="s">
        <v>56</v>
      </c>
      <c r="C5" s="3">
        <v>2</v>
      </c>
      <c r="D5" s="4" t="s">
        <v>57</v>
      </c>
      <c r="E5" s="5"/>
      <c r="F5" s="18">
        <v>2</v>
      </c>
      <c r="G5" s="21">
        <v>4</v>
      </c>
    </row>
    <row r="6" spans="1:7" ht="16.5" customHeight="1">
      <c r="A6" s="1"/>
      <c r="B6" s="2" t="s">
        <v>58</v>
      </c>
      <c r="C6" s="3">
        <v>5</v>
      </c>
      <c r="D6" s="4" t="s">
        <v>55</v>
      </c>
      <c r="E6" s="5"/>
      <c r="F6" s="18">
        <v>1.19</v>
      </c>
      <c r="G6" s="21">
        <f>F6*C6</f>
        <v>5.9499999999999993</v>
      </c>
    </row>
    <row r="7" spans="1:7" ht="16.5" customHeight="1">
      <c r="A7" s="1"/>
      <c r="B7" s="2" t="s">
        <v>58</v>
      </c>
      <c r="C7" s="3">
        <v>2</v>
      </c>
      <c r="D7" s="4" t="s">
        <v>59</v>
      </c>
      <c r="E7" s="5"/>
      <c r="F7" s="18">
        <v>2</v>
      </c>
      <c r="G7" s="21">
        <v>4</v>
      </c>
    </row>
    <row r="8" spans="1:7" ht="16.5" customHeight="1">
      <c r="A8" s="1"/>
      <c r="B8" s="2" t="s">
        <v>60</v>
      </c>
      <c r="C8" s="3">
        <v>1</v>
      </c>
      <c r="D8" s="4" t="s">
        <v>61</v>
      </c>
      <c r="E8" s="5"/>
      <c r="F8" s="18">
        <v>26.74</v>
      </c>
      <c r="G8" s="21">
        <v>26.74</v>
      </c>
    </row>
    <row r="9" spans="1:7" ht="16.5" customHeight="1">
      <c r="A9" s="1"/>
      <c r="B9" s="2" t="s">
        <v>16</v>
      </c>
      <c r="C9" s="3">
        <v>5</v>
      </c>
      <c r="D9" s="4" t="s">
        <v>55</v>
      </c>
      <c r="E9" s="5"/>
      <c r="F9" s="18">
        <v>0.55000000000000004</v>
      </c>
      <c r="G9" s="21">
        <f>F9*C9</f>
        <v>2.75</v>
      </c>
    </row>
    <row r="10" spans="1:7" ht="16.5" customHeight="1">
      <c r="A10" s="1"/>
      <c r="B10" s="2" t="s">
        <v>62</v>
      </c>
      <c r="C10" s="3">
        <v>6</v>
      </c>
      <c r="D10" s="4" t="s">
        <v>55</v>
      </c>
      <c r="E10" s="5"/>
      <c r="F10" s="18">
        <v>0.57999999999999996</v>
      </c>
      <c r="G10" s="21">
        <f>F10*C10</f>
        <v>3.4799999999999995</v>
      </c>
    </row>
    <row r="11" spans="1:7" ht="16.5" customHeight="1">
      <c r="A11" s="1"/>
      <c r="B11" s="2" t="s">
        <v>63</v>
      </c>
      <c r="C11" s="3">
        <v>7</v>
      </c>
      <c r="D11" s="4" t="s">
        <v>55</v>
      </c>
      <c r="E11" s="5"/>
      <c r="F11" s="18">
        <v>2.09</v>
      </c>
      <c r="G11" s="21">
        <f>F11*C11</f>
        <v>14.629999999999999</v>
      </c>
    </row>
    <row r="12" spans="1:7" ht="16.5" customHeight="1">
      <c r="A12" s="1"/>
      <c r="B12" s="2" t="s">
        <v>64</v>
      </c>
      <c r="C12" s="3">
        <v>7</v>
      </c>
      <c r="D12" s="4" t="s">
        <v>55</v>
      </c>
      <c r="E12" s="5"/>
      <c r="F12" s="18">
        <v>2.09</v>
      </c>
      <c r="G12" s="21">
        <f>F12*C12</f>
        <v>14.629999999999999</v>
      </c>
    </row>
    <row r="13" spans="1:7" ht="16.5" customHeight="1">
      <c r="A13" s="6"/>
      <c r="B13" s="2" t="s">
        <v>65</v>
      </c>
      <c r="C13" s="3">
        <v>4</v>
      </c>
      <c r="D13" s="4" t="s">
        <v>55</v>
      </c>
      <c r="E13" s="5"/>
      <c r="F13" s="18">
        <v>4.55</v>
      </c>
      <c r="G13" s="21">
        <f>F13*C13</f>
        <v>18.2</v>
      </c>
    </row>
    <row r="14" spans="1:7" ht="16.5" customHeight="1">
      <c r="A14" s="6"/>
      <c r="B14" s="7" t="s">
        <v>66</v>
      </c>
      <c r="C14" s="3">
        <v>6</v>
      </c>
      <c r="D14" s="4" t="s">
        <v>67</v>
      </c>
      <c r="E14" s="5"/>
      <c r="F14" s="18"/>
      <c r="G14" s="21"/>
    </row>
    <row r="15" spans="1:7" ht="16.5" customHeight="1">
      <c r="A15" s="6"/>
      <c r="B15" s="7" t="s">
        <v>68</v>
      </c>
      <c r="C15" s="3">
        <v>2</v>
      </c>
      <c r="D15" s="4" t="s">
        <v>61</v>
      </c>
      <c r="E15" s="5"/>
      <c r="F15" s="18">
        <v>5.55</v>
      </c>
      <c r="G15" s="21">
        <f>F15*C15</f>
        <v>11.1</v>
      </c>
    </row>
    <row r="16" spans="1:7" ht="16.5" customHeight="1">
      <c r="A16" s="6"/>
      <c r="B16" s="7" t="s">
        <v>69</v>
      </c>
      <c r="C16" s="3">
        <v>8</v>
      </c>
      <c r="D16" s="4" t="s">
        <v>67</v>
      </c>
      <c r="E16" s="5"/>
      <c r="F16" s="18">
        <v>0.79</v>
      </c>
      <c r="G16" s="21">
        <f>F16*C16</f>
        <v>6.32</v>
      </c>
    </row>
    <row r="17" spans="1:7" ht="16.5" customHeight="1">
      <c r="A17" s="6"/>
      <c r="B17" s="8" t="s">
        <v>70</v>
      </c>
      <c r="C17" s="3">
        <v>8</v>
      </c>
      <c r="D17" s="4" t="s">
        <v>67</v>
      </c>
      <c r="E17" s="5"/>
      <c r="F17" s="18">
        <v>0.69</v>
      </c>
      <c r="G17" s="21">
        <f>F17*C17</f>
        <v>5.52</v>
      </c>
    </row>
    <row r="18" spans="1:7" ht="16.5" customHeight="1">
      <c r="A18" s="6"/>
      <c r="B18" s="7" t="s">
        <v>71</v>
      </c>
      <c r="C18" s="3">
        <v>8</v>
      </c>
      <c r="D18" s="4" t="s">
        <v>67</v>
      </c>
      <c r="E18" s="5"/>
      <c r="F18" s="18">
        <v>0.74</v>
      </c>
      <c r="G18" s="21">
        <f>F18*C18</f>
        <v>5.92</v>
      </c>
    </row>
    <row r="19" spans="1:7" ht="16.5" customHeight="1">
      <c r="A19" s="6"/>
      <c r="B19" s="7" t="s">
        <v>72</v>
      </c>
      <c r="C19" s="3">
        <v>1</v>
      </c>
      <c r="D19" s="4" t="s">
        <v>61</v>
      </c>
      <c r="E19" s="5"/>
      <c r="F19" s="18">
        <v>2.14</v>
      </c>
      <c r="G19" s="21">
        <f>F19*C19</f>
        <v>2.14</v>
      </c>
    </row>
    <row r="20" spans="1:7" ht="16.5" customHeight="1">
      <c r="A20" s="6"/>
      <c r="B20" s="7" t="s">
        <v>73</v>
      </c>
      <c r="C20" s="3">
        <v>1</v>
      </c>
      <c r="D20" s="4" t="s">
        <v>61</v>
      </c>
      <c r="E20" s="5"/>
      <c r="F20" s="19">
        <v>2.14</v>
      </c>
      <c r="G20" s="21">
        <v>2.14</v>
      </c>
    </row>
    <row r="21" spans="1:7" ht="16.5" customHeight="1">
      <c r="A21" s="6"/>
      <c r="B21" s="7" t="s">
        <v>74</v>
      </c>
      <c r="C21" s="3">
        <v>1</v>
      </c>
      <c r="D21" s="4" t="s">
        <v>61</v>
      </c>
      <c r="E21" s="5"/>
      <c r="F21" s="18">
        <v>2.14</v>
      </c>
      <c r="G21" s="21">
        <v>2.14</v>
      </c>
    </row>
    <row r="22" spans="1:7" ht="16.5" customHeight="1">
      <c r="A22" s="6"/>
      <c r="B22" s="7" t="s">
        <v>75</v>
      </c>
      <c r="C22" s="3">
        <v>1</v>
      </c>
      <c r="D22" s="4" t="s">
        <v>61</v>
      </c>
      <c r="E22" s="5"/>
      <c r="F22" s="18">
        <v>2.14</v>
      </c>
      <c r="G22" s="21">
        <v>2.14</v>
      </c>
    </row>
    <row r="23" spans="1:7" ht="16.5" customHeight="1">
      <c r="A23" s="6"/>
      <c r="B23" s="2" t="s">
        <v>76</v>
      </c>
      <c r="C23" s="3">
        <v>1</v>
      </c>
      <c r="D23" s="4" t="s">
        <v>77</v>
      </c>
      <c r="E23" s="5"/>
      <c r="F23" s="18">
        <v>27.79</v>
      </c>
      <c r="G23" s="21">
        <v>27.79</v>
      </c>
    </row>
    <row r="24" spans="1:7" ht="16.5" customHeight="1">
      <c r="A24" s="6"/>
      <c r="B24" s="2" t="s">
        <v>78</v>
      </c>
      <c r="C24" s="3">
        <v>1</v>
      </c>
      <c r="D24" s="4" t="s">
        <v>61</v>
      </c>
      <c r="E24" s="5"/>
      <c r="F24" s="18">
        <v>5.55</v>
      </c>
      <c r="G24" s="21">
        <v>5.55</v>
      </c>
    </row>
    <row r="25" spans="1:7" ht="16.5" customHeight="1">
      <c r="A25" s="6"/>
      <c r="B25" s="2" t="s">
        <v>79</v>
      </c>
      <c r="C25" s="3">
        <v>1</v>
      </c>
      <c r="D25" s="4" t="s">
        <v>77</v>
      </c>
      <c r="E25" s="5"/>
      <c r="F25" s="18">
        <v>10.220000000000001</v>
      </c>
      <c r="G25" s="21">
        <v>10.220000000000001</v>
      </c>
    </row>
    <row r="26" spans="1:7" ht="16.5" customHeight="1">
      <c r="A26" s="6"/>
      <c r="B26" s="2" t="s">
        <v>80</v>
      </c>
      <c r="C26" s="3">
        <v>1</v>
      </c>
      <c r="D26" s="4" t="s">
        <v>81</v>
      </c>
      <c r="E26" s="5"/>
      <c r="F26" s="18">
        <v>11.54</v>
      </c>
      <c r="G26" s="21">
        <v>11.54</v>
      </c>
    </row>
    <row r="27" spans="1:7" ht="16.5" customHeight="1">
      <c r="A27" s="6"/>
      <c r="B27" s="2" t="s">
        <v>82</v>
      </c>
      <c r="C27" s="3">
        <v>1</v>
      </c>
      <c r="D27" s="4" t="s">
        <v>77</v>
      </c>
      <c r="E27" s="5"/>
      <c r="F27" s="18">
        <v>4</v>
      </c>
      <c r="G27" s="21">
        <v>4</v>
      </c>
    </row>
    <row r="28" spans="1:7" ht="16.5" customHeight="1">
      <c r="A28" s="6"/>
      <c r="B28" s="2" t="s">
        <v>83</v>
      </c>
      <c r="C28" s="3">
        <v>8</v>
      </c>
      <c r="D28" s="4" t="s">
        <v>67</v>
      </c>
      <c r="E28" s="5"/>
      <c r="F28" s="18">
        <v>1.98</v>
      </c>
      <c r="G28" s="21">
        <f>F28*C28</f>
        <v>15.84</v>
      </c>
    </row>
    <row r="29" spans="1:7" ht="16.5" customHeight="1">
      <c r="A29" s="6"/>
      <c r="B29" s="2" t="s">
        <v>84</v>
      </c>
      <c r="C29" s="3">
        <v>1</v>
      </c>
      <c r="D29" s="4" t="s">
        <v>61</v>
      </c>
      <c r="E29" s="5"/>
      <c r="F29" s="18">
        <v>4.7699999999999996</v>
      </c>
      <c r="G29" s="21">
        <v>4.7699999999999996</v>
      </c>
    </row>
    <row r="30" spans="1:7" ht="16.5" customHeight="1">
      <c r="A30" s="6"/>
      <c r="B30" s="2" t="s">
        <v>85</v>
      </c>
      <c r="C30" s="3">
        <v>1</v>
      </c>
      <c r="D30" s="4" t="s">
        <v>61</v>
      </c>
      <c r="E30" s="5"/>
      <c r="F30" s="18">
        <v>10.54</v>
      </c>
      <c r="G30" s="21">
        <v>10.54</v>
      </c>
    </row>
    <row r="31" spans="1:7" ht="16.5" customHeight="1">
      <c r="A31" s="6"/>
      <c r="B31" s="2" t="s">
        <v>86</v>
      </c>
      <c r="C31" s="3">
        <v>1</v>
      </c>
      <c r="D31" s="4" t="s">
        <v>81</v>
      </c>
      <c r="E31" s="5"/>
      <c r="F31" s="18">
        <v>7.32</v>
      </c>
      <c r="G31" s="21">
        <v>7.32</v>
      </c>
    </row>
    <row r="32" spans="1:7" ht="16.5" customHeight="1">
      <c r="A32" s="6"/>
      <c r="B32" s="2" t="s">
        <v>87</v>
      </c>
      <c r="C32" s="3">
        <v>20</v>
      </c>
      <c r="D32" s="4" t="s">
        <v>88</v>
      </c>
      <c r="E32" s="5"/>
      <c r="F32" s="18">
        <v>1.59</v>
      </c>
      <c r="G32" s="21">
        <f>F32*C32</f>
        <v>31.8</v>
      </c>
    </row>
    <row r="33" spans="1:7" ht="16.5" customHeight="1">
      <c r="A33" s="6"/>
      <c r="B33" s="2" t="s">
        <v>89</v>
      </c>
      <c r="C33" s="3">
        <v>1</v>
      </c>
      <c r="D33" s="4"/>
      <c r="E33" s="5"/>
      <c r="F33" s="18">
        <v>15</v>
      </c>
      <c r="G33" s="21">
        <f>F33*C33</f>
        <v>15</v>
      </c>
    </row>
    <row r="34" spans="1:7" ht="16.5" customHeight="1">
      <c r="A34" s="6"/>
      <c r="B34" s="2"/>
      <c r="C34" s="3"/>
      <c r="D34" s="4"/>
      <c r="E34" s="5"/>
      <c r="F34" s="18"/>
      <c r="G34" s="21"/>
    </row>
    <row r="35" spans="1:7" ht="16.5" customHeight="1">
      <c r="A35" s="6"/>
      <c r="B35" s="2"/>
      <c r="C35" s="3"/>
      <c r="D35" s="4"/>
      <c r="E35" s="5"/>
      <c r="F35" s="18"/>
      <c r="G35" s="21"/>
    </row>
    <row r="36" spans="1:7" ht="16.5" customHeight="1">
      <c r="A36" s="6"/>
      <c r="B36" s="2"/>
      <c r="C36" s="3"/>
      <c r="D36" s="4"/>
      <c r="E36" s="5"/>
      <c r="F36" s="18"/>
      <c r="G36" s="21"/>
    </row>
    <row r="37" spans="1:7" ht="16.5" customHeight="1">
      <c r="B37" s="9"/>
      <c r="C37" s="10"/>
      <c r="D37" s="9"/>
    </row>
    <row r="38" spans="1:7" ht="16.5" customHeight="1">
      <c r="B38" s="9"/>
      <c r="C38" s="10"/>
      <c r="D38" s="9"/>
      <c r="F38" s="11">
        <f>SUM(G3:G36)</f>
        <v>301.1699999999999</v>
      </c>
    </row>
    <row r="39" spans="1:7" ht="16.5" customHeight="1">
      <c r="B39" s="9"/>
      <c r="C39" s="10"/>
      <c r="D39" s="9"/>
    </row>
  </sheetData>
  <mergeCells count="1">
    <mergeCell ref="A1: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1AB1B-4573-4432-9436-0F74DC8B4F23}">
  <dimension ref="A1:G44"/>
  <sheetViews>
    <sheetView topLeftCell="A21" workbookViewId="0">
      <selection activeCell="O9" sqref="O9"/>
    </sheetView>
  </sheetViews>
  <sheetFormatPr defaultRowHeight="18" customHeight="1"/>
  <cols>
    <col min="1" max="1" width="12.7109375" bestFit="1" customWidth="1"/>
    <col min="2" max="2" width="28.7109375" customWidth="1"/>
    <col min="3" max="4" width="15.42578125" customWidth="1"/>
    <col min="5" max="5" width="17.28515625" customWidth="1"/>
    <col min="6" max="6" width="12.85546875" bestFit="1" customWidth="1"/>
    <col min="7" max="7" width="13" customWidth="1"/>
  </cols>
  <sheetData>
    <row r="1" spans="1:7" ht="18" customHeight="1">
      <c r="A1" s="115">
        <v>2026</v>
      </c>
      <c r="B1" s="115"/>
      <c r="C1" s="115"/>
      <c r="D1" s="115"/>
      <c r="E1" s="115"/>
      <c r="F1" s="115"/>
      <c r="G1" s="115"/>
    </row>
    <row r="2" spans="1:7" ht="18" customHeight="1">
      <c r="A2" s="12" t="s">
        <v>48</v>
      </c>
      <c r="B2" s="13" t="s">
        <v>49</v>
      </c>
      <c r="C2" s="14" t="s">
        <v>50</v>
      </c>
      <c r="D2" s="15" t="s">
        <v>5</v>
      </c>
      <c r="E2" s="16" t="s">
        <v>51</v>
      </c>
      <c r="F2" s="17" t="s">
        <v>52</v>
      </c>
      <c r="G2" s="17" t="s">
        <v>53</v>
      </c>
    </row>
    <row r="3" spans="1:7" ht="18" customHeight="1">
      <c r="A3" s="1"/>
      <c r="B3" s="2" t="s">
        <v>54</v>
      </c>
      <c r="C3" s="3">
        <v>10</v>
      </c>
      <c r="D3" s="4" t="s">
        <v>90</v>
      </c>
      <c r="E3" s="5"/>
      <c r="F3" s="18">
        <v>1.5</v>
      </c>
      <c r="G3" s="21">
        <f>F3*C3</f>
        <v>15</v>
      </c>
    </row>
    <row r="4" spans="1:7" ht="18" customHeight="1">
      <c r="A4" s="1"/>
      <c r="B4" s="2" t="s">
        <v>91</v>
      </c>
      <c r="C4" s="3">
        <v>5</v>
      </c>
      <c r="D4" s="4"/>
      <c r="E4" s="5"/>
      <c r="F4" s="18">
        <v>1.73</v>
      </c>
      <c r="G4" s="21">
        <f>F4*C4</f>
        <v>8.65</v>
      </c>
    </row>
    <row r="5" spans="1:7" ht="18" customHeight="1">
      <c r="A5" s="1"/>
      <c r="B5" s="2" t="s">
        <v>92</v>
      </c>
      <c r="C5" s="3">
        <v>4</v>
      </c>
      <c r="D5" s="4"/>
      <c r="E5" s="5"/>
      <c r="F5" s="18">
        <v>1.98</v>
      </c>
      <c r="G5" s="21">
        <f>F5*C5</f>
        <v>7.92</v>
      </c>
    </row>
    <row r="6" spans="1:7" ht="18" customHeight="1">
      <c r="A6" s="1"/>
      <c r="B6" s="2" t="s">
        <v>93</v>
      </c>
      <c r="C6" s="3">
        <v>14</v>
      </c>
      <c r="D6" s="4" t="s">
        <v>67</v>
      </c>
      <c r="E6" s="5" t="s">
        <v>94</v>
      </c>
      <c r="F6" s="18">
        <v>1.3</v>
      </c>
      <c r="G6" s="21">
        <f>F6*C6</f>
        <v>18.2</v>
      </c>
    </row>
    <row r="7" spans="1:7" ht="18" customHeight="1">
      <c r="A7" s="1"/>
      <c r="B7" s="2" t="s">
        <v>95</v>
      </c>
      <c r="C7" s="3">
        <v>7</v>
      </c>
      <c r="D7" s="4" t="s">
        <v>88</v>
      </c>
      <c r="E7" s="5"/>
      <c r="F7" s="18">
        <v>0.81</v>
      </c>
      <c r="G7" s="21">
        <f>F7*C7</f>
        <v>5.67</v>
      </c>
    </row>
    <row r="8" spans="1:7" ht="18" customHeight="1">
      <c r="A8" s="1"/>
      <c r="B8" s="2" t="s">
        <v>60</v>
      </c>
      <c r="C8" s="3">
        <v>1</v>
      </c>
      <c r="D8" s="4" t="s">
        <v>96</v>
      </c>
      <c r="E8" s="5"/>
      <c r="F8" s="18">
        <v>26.74</v>
      </c>
      <c r="G8" s="21">
        <v>26.74</v>
      </c>
    </row>
    <row r="9" spans="1:7" ht="18" customHeight="1">
      <c r="A9" s="1"/>
      <c r="B9" s="2" t="s">
        <v>97</v>
      </c>
      <c r="C9" s="3">
        <v>3</v>
      </c>
      <c r="D9" s="4" t="s">
        <v>81</v>
      </c>
      <c r="E9" s="5"/>
      <c r="F9" s="18">
        <v>2.4700000000000002</v>
      </c>
      <c r="G9" s="21">
        <f>F9*C9</f>
        <v>7.41</v>
      </c>
    </row>
    <row r="10" spans="1:7" ht="18" customHeight="1">
      <c r="A10" s="1"/>
      <c r="B10" s="2" t="s">
        <v>98</v>
      </c>
      <c r="C10" s="3">
        <v>3</v>
      </c>
      <c r="D10" s="4" t="s">
        <v>99</v>
      </c>
      <c r="E10" s="5"/>
      <c r="F10" s="18">
        <v>1.64</v>
      </c>
      <c r="G10" s="21">
        <f>F10*C10</f>
        <v>4.92</v>
      </c>
    </row>
    <row r="11" spans="1:7" ht="18" customHeight="1">
      <c r="A11" s="1"/>
      <c r="B11" s="2" t="s">
        <v>63</v>
      </c>
      <c r="C11" s="3">
        <v>1</v>
      </c>
      <c r="D11" s="4"/>
      <c r="E11" s="5"/>
      <c r="F11" s="18">
        <v>1</v>
      </c>
      <c r="G11" s="21">
        <f>F11*C11</f>
        <v>1</v>
      </c>
    </row>
    <row r="12" spans="1:7" ht="18" customHeight="1">
      <c r="A12" s="1"/>
      <c r="B12" s="2" t="s">
        <v>64</v>
      </c>
      <c r="C12" s="3">
        <v>9</v>
      </c>
      <c r="D12" s="4"/>
      <c r="E12" s="5"/>
      <c r="F12" s="18">
        <v>1</v>
      </c>
      <c r="G12" s="21">
        <f>F12*C12</f>
        <v>9</v>
      </c>
    </row>
    <row r="13" spans="1:7" ht="18" customHeight="1">
      <c r="A13" s="6"/>
      <c r="B13" s="2" t="s">
        <v>100</v>
      </c>
      <c r="C13" s="3">
        <v>2</v>
      </c>
      <c r="D13" s="4" t="s">
        <v>81</v>
      </c>
      <c r="E13" s="5" t="s">
        <v>101</v>
      </c>
      <c r="F13" s="18">
        <v>1.26</v>
      </c>
      <c r="G13" s="21">
        <f>F13*C13</f>
        <v>2.52</v>
      </c>
    </row>
    <row r="14" spans="1:7" ht="18" customHeight="1">
      <c r="A14" s="6"/>
      <c r="B14" s="7" t="s">
        <v>66</v>
      </c>
      <c r="C14" s="3">
        <v>6</v>
      </c>
      <c r="D14" s="4" t="s">
        <v>88</v>
      </c>
      <c r="E14" s="5"/>
      <c r="F14" s="18">
        <v>2</v>
      </c>
      <c r="G14" s="21">
        <f>F14*C14</f>
        <v>12</v>
      </c>
    </row>
    <row r="15" spans="1:7" ht="18" customHeight="1">
      <c r="A15" s="6"/>
      <c r="B15" s="7" t="s">
        <v>102</v>
      </c>
      <c r="C15" s="3">
        <v>1</v>
      </c>
      <c r="D15" s="4" t="s">
        <v>81</v>
      </c>
      <c r="E15" s="5" t="s">
        <v>103</v>
      </c>
      <c r="F15" s="18">
        <v>3.29</v>
      </c>
      <c r="G15" s="21">
        <f>F15*C15</f>
        <v>3.29</v>
      </c>
    </row>
    <row r="16" spans="1:7" ht="18" customHeight="1">
      <c r="A16" s="6"/>
      <c r="B16" s="7" t="s">
        <v>69</v>
      </c>
      <c r="C16" s="3">
        <v>6</v>
      </c>
      <c r="D16" s="4" t="s">
        <v>67</v>
      </c>
      <c r="E16" s="5"/>
      <c r="F16" s="18">
        <v>0.79</v>
      </c>
      <c r="G16" s="21">
        <f>F16*C16</f>
        <v>4.74</v>
      </c>
    </row>
    <row r="17" spans="1:7" ht="18" customHeight="1">
      <c r="A17" s="6"/>
      <c r="B17" s="8" t="s">
        <v>104</v>
      </c>
      <c r="C17" s="3">
        <v>2</v>
      </c>
      <c r="D17" s="4" t="s">
        <v>96</v>
      </c>
      <c r="E17" s="5" t="s">
        <v>105</v>
      </c>
      <c r="F17" s="18">
        <v>4.4800000000000004</v>
      </c>
      <c r="G17" s="21">
        <f>F17*C17</f>
        <v>8.9600000000000009</v>
      </c>
    </row>
    <row r="18" spans="1:7" ht="18" customHeight="1">
      <c r="A18" s="6"/>
      <c r="B18" s="7" t="s">
        <v>106</v>
      </c>
      <c r="C18" s="3">
        <v>1</v>
      </c>
      <c r="D18" s="4" t="s">
        <v>61</v>
      </c>
      <c r="E18" s="5"/>
      <c r="F18" s="18">
        <v>17.440000000000001</v>
      </c>
      <c r="G18" s="21">
        <f>F18</f>
        <v>17.440000000000001</v>
      </c>
    </row>
    <row r="19" spans="1:7" ht="18" customHeight="1">
      <c r="A19" s="6"/>
      <c r="B19" s="7" t="s">
        <v>107</v>
      </c>
      <c r="C19" s="3">
        <v>1</v>
      </c>
      <c r="D19" s="4" t="s">
        <v>96</v>
      </c>
      <c r="E19" s="5"/>
      <c r="F19" s="18">
        <v>6.49</v>
      </c>
      <c r="G19" s="21">
        <f>F19*C19</f>
        <v>6.49</v>
      </c>
    </row>
    <row r="20" spans="1:7" ht="18" customHeight="1">
      <c r="A20" s="6"/>
      <c r="B20" s="7" t="s">
        <v>108</v>
      </c>
      <c r="C20" s="3">
        <v>8</v>
      </c>
      <c r="D20" s="4" t="s">
        <v>90</v>
      </c>
      <c r="E20" s="5"/>
      <c r="F20" s="19">
        <v>1.73</v>
      </c>
      <c r="G20" s="21">
        <f>F20*C20</f>
        <v>13.84</v>
      </c>
    </row>
    <row r="21" spans="1:7" ht="18" customHeight="1">
      <c r="A21" s="6"/>
      <c r="B21" s="7" t="s">
        <v>109</v>
      </c>
      <c r="C21" s="3">
        <v>5</v>
      </c>
      <c r="D21" s="4" t="s">
        <v>90</v>
      </c>
      <c r="E21" s="5"/>
      <c r="F21" s="18">
        <v>2.08</v>
      </c>
      <c r="G21" s="21">
        <v>10.4</v>
      </c>
    </row>
    <row r="22" spans="1:7" ht="18" customHeight="1">
      <c r="A22" s="6"/>
      <c r="B22" s="7" t="s">
        <v>110</v>
      </c>
      <c r="C22" s="3">
        <v>10</v>
      </c>
      <c r="D22" s="4" t="s">
        <v>90</v>
      </c>
      <c r="E22" s="5"/>
      <c r="F22" s="18">
        <v>0.56000000000000005</v>
      </c>
      <c r="G22" s="21">
        <v>5.6</v>
      </c>
    </row>
    <row r="23" spans="1:7" ht="18" customHeight="1">
      <c r="A23" s="6"/>
      <c r="B23" s="7" t="s">
        <v>111</v>
      </c>
      <c r="C23" s="3">
        <v>6</v>
      </c>
      <c r="D23" s="4" t="s">
        <v>90</v>
      </c>
      <c r="E23" s="5"/>
      <c r="F23" s="18">
        <v>1.59</v>
      </c>
      <c r="G23" s="21">
        <f>F23*C23</f>
        <v>9.5400000000000009</v>
      </c>
    </row>
    <row r="24" spans="1:7" ht="18" customHeight="1">
      <c r="A24" s="6"/>
      <c r="B24" s="7" t="s">
        <v>112</v>
      </c>
      <c r="C24" s="3">
        <v>6</v>
      </c>
      <c r="D24" s="4" t="s">
        <v>81</v>
      </c>
      <c r="E24" s="5"/>
      <c r="F24" s="18">
        <v>0.52</v>
      </c>
      <c r="G24" s="21">
        <f>F24*C24</f>
        <v>3.12</v>
      </c>
    </row>
    <row r="25" spans="1:7" ht="18" customHeight="1">
      <c r="A25" s="6"/>
      <c r="B25" s="2" t="s">
        <v>113</v>
      </c>
      <c r="C25" s="3">
        <v>9</v>
      </c>
      <c r="D25" s="4" t="s">
        <v>90</v>
      </c>
      <c r="E25" s="5"/>
      <c r="F25" s="18">
        <v>0.8</v>
      </c>
      <c r="G25" s="21">
        <f>F25*C25</f>
        <v>7.2</v>
      </c>
    </row>
    <row r="26" spans="1:7" ht="18" customHeight="1">
      <c r="A26" s="6"/>
      <c r="B26" s="2" t="s">
        <v>114</v>
      </c>
      <c r="C26" s="3">
        <v>1</v>
      </c>
      <c r="D26" s="4" t="s">
        <v>99</v>
      </c>
      <c r="E26" s="5"/>
      <c r="F26" s="18">
        <v>11.54</v>
      </c>
      <c r="G26" s="21">
        <f>F26</f>
        <v>11.54</v>
      </c>
    </row>
    <row r="27" spans="1:7" ht="18" customHeight="1">
      <c r="A27" s="6"/>
      <c r="B27" s="2" t="s">
        <v>115</v>
      </c>
      <c r="C27" s="3">
        <v>8</v>
      </c>
      <c r="D27" s="4" t="s">
        <v>90</v>
      </c>
      <c r="E27" s="5"/>
      <c r="F27" s="18">
        <v>0.53</v>
      </c>
      <c r="G27" s="21">
        <f>F27*C27</f>
        <v>4.24</v>
      </c>
    </row>
    <row r="28" spans="1:7" ht="18" customHeight="1">
      <c r="A28" s="6"/>
      <c r="B28" s="2" t="s">
        <v>116</v>
      </c>
      <c r="C28" s="3">
        <v>1</v>
      </c>
      <c r="D28" s="4" t="s">
        <v>81</v>
      </c>
      <c r="E28" s="5" t="s">
        <v>103</v>
      </c>
      <c r="F28" s="18">
        <v>0.65</v>
      </c>
      <c r="G28" s="21">
        <f>F28</f>
        <v>0.65</v>
      </c>
    </row>
    <row r="29" spans="1:7" ht="18" customHeight="1">
      <c r="A29" s="6"/>
      <c r="B29" s="2" t="s">
        <v>79</v>
      </c>
      <c r="C29" s="3">
        <v>1</v>
      </c>
      <c r="D29" s="4" t="s">
        <v>81</v>
      </c>
      <c r="E29" s="5"/>
      <c r="F29" s="18">
        <v>7.94</v>
      </c>
      <c r="G29" s="21">
        <f>F29</f>
        <v>7.94</v>
      </c>
    </row>
    <row r="30" spans="1:7" ht="18" customHeight="1">
      <c r="A30" s="6"/>
      <c r="B30" s="2" t="s">
        <v>117</v>
      </c>
      <c r="C30" s="3">
        <v>7</v>
      </c>
      <c r="D30" s="4" t="s">
        <v>81</v>
      </c>
      <c r="E30" s="5"/>
      <c r="F30" s="18">
        <v>0.8</v>
      </c>
      <c r="G30" s="21">
        <f>F30*C30</f>
        <v>5.6000000000000005</v>
      </c>
    </row>
    <row r="31" spans="1:7" ht="18" customHeight="1">
      <c r="A31" s="6"/>
      <c r="B31" s="2" t="s">
        <v>118</v>
      </c>
      <c r="C31" s="3">
        <v>8</v>
      </c>
      <c r="D31" s="4" t="s">
        <v>90</v>
      </c>
      <c r="E31" s="5"/>
      <c r="F31" s="18">
        <v>0.65</v>
      </c>
      <c r="G31" s="21">
        <f>F31*C31</f>
        <v>5.2</v>
      </c>
    </row>
    <row r="32" spans="1:7" ht="18" customHeight="1">
      <c r="A32" s="6"/>
      <c r="B32" s="2" t="s">
        <v>119</v>
      </c>
      <c r="C32" s="3">
        <v>8</v>
      </c>
      <c r="D32" s="4" t="s">
        <v>90</v>
      </c>
      <c r="E32" s="5"/>
      <c r="F32" s="18">
        <v>0.8</v>
      </c>
      <c r="G32" s="21">
        <v>6.4</v>
      </c>
    </row>
    <row r="33" spans="1:7" ht="18" customHeight="1">
      <c r="A33" s="6"/>
      <c r="B33" s="2" t="s">
        <v>120</v>
      </c>
      <c r="C33" s="3">
        <v>2</v>
      </c>
      <c r="D33" s="4" t="s">
        <v>81</v>
      </c>
      <c r="E33" s="5" t="s">
        <v>103</v>
      </c>
      <c r="F33" s="18">
        <v>1.86</v>
      </c>
      <c r="G33" s="21">
        <f>F33*C33</f>
        <v>3.72</v>
      </c>
    </row>
    <row r="34" spans="1:7" ht="18" customHeight="1">
      <c r="A34" s="6"/>
      <c r="B34" s="2" t="s">
        <v>121</v>
      </c>
      <c r="C34" s="3">
        <v>2</v>
      </c>
      <c r="D34" s="4" t="s">
        <v>99</v>
      </c>
      <c r="E34" s="5"/>
      <c r="F34" s="18">
        <v>2.19</v>
      </c>
      <c r="G34" s="21">
        <f>F34*C34</f>
        <v>4.38</v>
      </c>
    </row>
    <row r="35" spans="1:7" ht="18" customHeight="1">
      <c r="A35" s="6"/>
      <c r="B35" s="2" t="s">
        <v>122</v>
      </c>
      <c r="C35" s="3">
        <v>1</v>
      </c>
      <c r="D35" s="4" t="s">
        <v>77</v>
      </c>
      <c r="E35" s="5" t="s">
        <v>103</v>
      </c>
      <c r="F35" s="18">
        <v>1.97</v>
      </c>
      <c r="G35" s="21">
        <f>F35</f>
        <v>1.97</v>
      </c>
    </row>
    <row r="36" spans="1:7" ht="18" customHeight="1">
      <c r="A36" s="6"/>
      <c r="B36" s="2" t="s">
        <v>123</v>
      </c>
      <c r="C36" s="3">
        <v>2</v>
      </c>
      <c r="D36" s="4" t="s">
        <v>81</v>
      </c>
      <c r="E36" s="5" t="s">
        <v>103</v>
      </c>
      <c r="F36" s="18">
        <v>3.29</v>
      </c>
      <c r="G36" s="21">
        <f>F36*C36</f>
        <v>6.58</v>
      </c>
    </row>
    <row r="37" spans="1:7" ht="18" customHeight="1">
      <c r="A37" s="6"/>
      <c r="B37" s="2" t="s">
        <v>87</v>
      </c>
      <c r="C37" s="3">
        <v>4</v>
      </c>
      <c r="D37" s="4" t="s">
        <v>67</v>
      </c>
      <c r="E37" s="5"/>
      <c r="F37" s="18">
        <v>1.59</v>
      </c>
      <c r="G37" s="21">
        <f>F37*C37</f>
        <v>6.36</v>
      </c>
    </row>
    <row r="38" spans="1:7" ht="18" customHeight="1">
      <c r="A38" s="6"/>
      <c r="B38" s="2" t="s">
        <v>124</v>
      </c>
      <c r="C38" s="3">
        <v>4</v>
      </c>
      <c r="D38" s="4" t="s">
        <v>67</v>
      </c>
      <c r="E38" s="5"/>
      <c r="F38" s="18">
        <v>1.59</v>
      </c>
      <c r="G38" s="21">
        <f>F38*C38</f>
        <v>6.36</v>
      </c>
    </row>
    <row r="39" spans="1:7" ht="18" customHeight="1">
      <c r="A39" s="6"/>
      <c r="B39" s="2" t="s">
        <v>125</v>
      </c>
      <c r="C39" s="3">
        <v>4</v>
      </c>
      <c r="D39" s="4" t="s">
        <v>67</v>
      </c>
      <c r="E39" s="5"/>
      <c r="F39" s="18">
        <v>1.59</v>
      </c>
      <c r="G39" s="21">
        <f>F39*C39</f>
        <v>6.36</v>
      </c>
    </row>
    <row r="40" spans="1:7" ht="18" customHeight="1">
      <c r="A40" s="6"/>
      <c r="B40" s="2" t="s">
        <v>126</v>
      </c>
      <c r="C40" s="3">
        <v>4</v>
      </c>
      <c r="D40" s="4" t="s">
        <v>67</v>
      </c>
      <c r="E40" s="5"/>
      <c r="F40" s="18">
        <v>1.59</v>
      </c>
      <c r="G40" s="21">
        <f>F40*C40</f>
        <v>6.36</v>
      </c>
    </row>
    <row r="41" spans="1:7" ht="18" customHeight="1">
      <c r="A41" s="6"/>
      <c r="B41" s="2"/>
      <c r="C41" s="3"/>
      <c r="D41" s="4"/>
      <c r="E41" s="5"/>
      <c r="F41" s="18"/>
      <c r="G41" s="21"/>
    </row>
    <row r="42" spans="1:7" ht="18" customHeight="1">
      <c r="B42" s="9"/>
      <c r="C42" s="10"/>
      <c r="D42" s="9"/>
      <c r="F42" s="20"/>
      <c r="G42" s="20"/>
    </row>
    <row r="43" spans="1:7" ht="18" customHeight="1">
      <c r="B43" s="9"/>
      <c r="C43" s="10"/>
      <c r="D43" s="9"/>
      <c r="F43" s="11">
        <f>SUM(G3:G41)</f>
        <v>293.31000000000006</v>
      </c>
      <c r="G43" s="20"/>
    </row>
    <row r="44" spans="1:7" ht="18" customHeight="1">
      <c r="B44" s="9"/>
      <c r="C44" s="10"/>
      <c r="D44" s="9"/>
      <c r="F44" s="20"/>
      <c r="G44" s="20"/>
    </row>
  </sheetData>
  <mergeCells count="1">
    <mergeCell ref="A1:G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2A0AE-AF12-49DC-B5EE-5B0E8D3185B2}">
  <dimension ref="A1:G44"/>
  <sheetViews>
    <sheetView topLeftCell="A12" workbookViewId="0">
      <selection activeCell="K18" sqref="K18"/>
    </sheetView>
  </sheetViews>
  <sheetFormatPr defaultRowHeight="16.5" customHeight="1"/>
  <cols>
    <col min="1" max="1" width="12.7109375" bestFit="1" customWidth="1"/>
    <col min="2" max="2" width="30.140625" customWidth="1"/>
    <col min="3" max="3" width="18.7109375" customWidth="1"/>
    <col min="4" max="4" width="11.42578125" customWidth="1"/>
    <col min="5" max="5" width="26.85546875" customWidth="1"/>
    <col min="6" max="6" width="19" customWidth="1"/>
    <col min="7" max="7" width="19.28515625" customWidth="1"/>
    <col min="8" max="8" width="13.7109375" customWidth="1"/>
  </cols>
  <sheetData>
    <row r="1" spans="1:7" ht="16.5" customHeight="1">
      <c r="A1" s="115">
        <v>2026</v>
      </c>
      <c r="B1" s="115"/>
      <c r="C1" s="115"/>
      <c r="D1" s="115"/>
      <c r="E1" s="115"/>
      <c r="F1" s="115"/>
      <c r="G1" s="115"/>
    </row>
    <row r="2" spans="1:7" ht="16.5" customHeight="1">
      <c r="A2" s="12" t="s">
        <v>48</v>
      </c>
      <c r="B2" s="13" t="s">
        <v>49</v>
      </c>
      <c r="C2" s="14" t="s">
        <v>50</v>
      </c>
      <c r="D2" s="15" t="s">
        <v>5</v>
      </c>
      <c r="E2" s="16" t="s">
        <v>51</v>
      </c>
      <c r="F2" s="17" t="s">
        <v>52</v>
      </c>
      <c r="G2" s="17" t="s">
        <v>53</v>
      </c>
    </row>
    <row r="3" spans="1:7" ht="16.5" customHeight="1">
      <c r="A3" s="1"/>
      <c r="B3" s="2"/>
      <c r="C3" s="3"/>
      <c r="D3" s="4"/>
      <c r="E3" s="5"/>
      <c r="F3" s="18"/>
      <c r="G3" s="21"/>
    </row>
    <row r="4" spans="1:7" ht="16.5" customHeight="1">
      <c r="A4" s="1"/>
      <c r="B4" s="2" t="s">
        <v>91</v>
      </c>
      <c r="C4" s="3">
        <v>8</v>
      </c>
      <c r="D4" s="4" t="s">
        <v>88</v>
      </c>
      <c r="E4" s="5"/>
      <c r="F4" s="18">
        <v>1.73</v>
      </c>
      <c r="G4" s="21">
        <f>F4*C4</f>
        <v>13.84</v>
      </c>
    </row>
    <row r="5" spans="1:7" ht="16.5" customHeight="1">
      <c r="A5" s="1"/>
      <c r="B5" s="2" t="s">
        <v>92</v>
      </c>
      <c r="C5" s="3">
        <v>4</v>
      </c>
      <c r="D5" s="4" t="s">
        <v>127</v>
      </c>
      <c r="E5" s="5"/>
      <c r="F5" s="18">
        <v>1.98</v>
      </c>
      <c r="G5" s="21">
        <f>F5*C5</f>
        <v>7.92</v>
      </c>
    </row>
    <row r="6" spans="1:7" ht="16.5" customHeight="1">
      <c r="A6" s="1"/>
      <c r="B6" s="2" t="s">
        <v>93</v>
      </c>
      <c r="C6" s="3">
        <v>15</v>
      </c>
      <c r="D6" s="4" t="s">
        <v>88</v>
      </c>
      <c r="E6" s="5" t="s">
        <v>128</v>
      </c>
      <c r="F6" s="18">
        <v>1.3</v>
      </c>
      <c r="G6" s="21">
        <f>F6*C6</f>
        <v>19.5</v>
      </c>
    </row>
    <row r="7" spans="1:7" ht="16.5" customHeight="1">
      <c r="A7" s="1"/>
      <c r="B7" s="2" t="s">
        <v>129</v>
      </c>
      <c r="C7" s="3">
        <v>6</v>
      </c>
      <c r="D7" s="4" t="s">
        <v>88</v>
      </c>
      <c r="E7" s="5"/>
      <c r="F7" s="18">
        <v>0.81</v>
      </c>
      <c r="G7" s="21">
        <f>F7*C7</f>
        <v>4.8600000000000003</v>
      </c>
    </row>
    <row r="8" spans="1:7" ht="16.5" customHeight="1">
      <c r="A8" s="1"/>
      <c r="B8" s="2" t="s">
        <v>60</v>
      </c>
      <c r="C8" s="3">
        <v>1</v>
      </c>
      <c r="D8" s="4" t="s">
        <v>96</v>
      </c>
      <c r="E8" s="5"/>
      <c r="F8" s="18">
        <v>26.74</v>
      </c>
      <c r="G8" s="21">
        <f>F8*C8</f>
        <v>26.74</v>
      </c>
    </row>
    <row r="9" spans="1:7" ht="16.5" customHeight="1">
      <c r="A9" s="1"/>
      <c r="B9" s="2" t="s">
        <v>43</v>
      </c>
      <c r="C9" s="3">
        <v>2</v>
      </c>
      <c r="D9" s="4" t="s">
        <v>96</v>
      </c>
      <c r="E9" s="5" t="s">
        <v>130</v>
      </c>
      <c r="F9" s="18">
        <v>2.82</v>
      </c>
      <c r="G9" s="21">
        <f>F9*C9</f>
        <v>5.64</v>
      </c>
    </row>
    <row r="10" spans="1:7" ht="16.5" customHeight="1">
      <c r="A10" s="1"/>
      <c r="B10" s="2" t="s">
        <v>131</v>
      </c>
      <c r="C10" s="3">
        <v>12</v>
      </c>
      <c r="D10" s="4" t="s">
        <v>90</v>
      </c>
      <c r="E10" s="5" t="s">
        <v>132</v>
      </c>
      <c r="F10" s="18">
        <v>1.0900000000000001</v>
      </c>
      <c r="G10" s="21">
        <f>F10*C10</f>
        <v>13.080000000000002</v>
      </c>
    </row>
    <row r="11" spans="1:7" ht="16.5" customHeight="1">
      <c r="A11" s="1"/>
      <c r="B11" s="2" t="s">
        <v>133</v>
      </c>
      <c r="C11" s="3">
        <v>6</v>
      </c>
      <c r="D11" s="4" t="s">
        <v>88</v>
      </c>
      <c r="E11" s="5"/>
      <c r="F11" s="18">
        <v>1.73</v>
      </c>
      <c r="G11" s="21">
        <f>F11*C11</f>
        <v>10.379999999999999</v>
      </c>
    </row>
    <row r="12" spans="1:7" ht="16.5" customHeight="1">
      <c r="A12" s="1"/>
      <c r="B12" s="2" t="s">
        <v>134</v>
      </c>
      <c r="C12" s="3">
        <v>16</v>
      </c>
      <c r="D12" s="4"/>
      <c r="E12" s="5"/>
      <c r="F12" s="18">
        <v>1.28</v>
      </c>
      <c r="G12" s="21">
        <f>F12*C12</f>
        <v>20.48</v>
      </c>
    </row>
    <row r="13" spans="1:7" ht="16.5" customHeight="1">
      <c r="A13" s="6"/>
      <c r="B13" s="2" t="s">
        <v>135</v>
      </c>
      <c r="C13" s="3">
        <v>16</v>
      </c>
      <c r="D13" s="4"/>
      <c r="E13" s="5"/>
      <c r="F13" s="18">
        <v>1.28</v>
      </c>
      <c r="G13" s="21">
        <f>F13*C13</f>
        <v>20.48</v>
      </c>
    </row>
    <row r="14" spans="1:7" ht="16.5" customHeight="1">
      <c r="A14" s="6"/>
      <c r="B14" s="7" t="s">
        <v>136</v>
      </c>
      <c r="C14" s="3">
        <v>16</v>
      </c>
      <c r="D14" s="4"/>
      <c r="E14" s="5"/>
      <c r="F14" s="18">
        <v>1.28</v>
      </c>
      <c r="G14" s="21">
        <f>F14*C14</f>
        <v>20.48</v>
      </c>
    </row>
    <row r="15" spans="1:7" ht="16.5" customHeight="1">
      <c r="A15" s="6"/>
      <c r="B15" s="7" t="s">
        <v>137</v>
      </c>
      <c r="C15" s="3">
        <v>16</v>
      </c>
      <c r="D15" s="4"/>
      <c r="E15" s="5"/>
      <c r="F15" s="18">
        <v>1.28</v>
      </c>
      <c r="G15" s="21">
        <f>F15*C15</f>
        <v>20.48</v>
      </c>
    </row>
    <row r="16" spans="1:7" ht="16.5" customHeight="1">
      <c r="A16" s="6"/>
      <c r="B16" s="7" t="s">
        <v>102</v>
      </c>
      <c r="C16" s="3">
        <v>1</v>
      </c>
      <c r="D16" s="4" t="s">
        <v>99</v>
      </c>
      <c r="E16" s="5"/>
      <c r="F16" s="18">
        <v>3.29</v>
      </c>
      <c r="G16" s="21">
        <f>F16*C16</f>
        <v>3.29</v>
      </c>
    </row>
    <row r="17" spans="1:7" ht="16.5" customHeight="1">
      <c r="A17" s="6"/>
      <c r="B17" s="8"/>
      <c r="C17" s="3"/>
      <c r="D17" s="4"/>
      <c r="E17" s="5"/>
      <c r="F17" s="18"/>
      <c r="G17" s="21"/>
    </row>
    <row r="18" spans="1:7" ht="16.5" customHeight="1">
      <c r="A18" s="6"/>
      <c r="B18" s="7" t="s">
        <v>106</v>
      </c>
      <c r="C18" s="3">
        <v>6</v>
      </c>
      <c r="D18" s="4"/>
      <c r="E18" s="5"/>
      <c r="F18" s="18">
        <v>0.55000000000000004</v>
      </c>
      <c r="G18" s="21">
        <f>IF(C18="","",F18*C18)</f>
        <v>3.3000000000000003</v>
      </c>
    </row>
    <row r="19" spans="1:7" ht="16.5" customHeight="1">
      <c r="A19" s="6"/>
      <c r="B19" s="7" t="s">
        <v>107</v>
      </c>
      <c r="C19" s="3">
        <v>6</v>
      </c>
      <c r="D19" s="4"/>
      <c r="E19" s="5"/>
      <c r="F19" s="18">
        <v>6.49</v>
      </c>
      <c r="G19" s="21">
        <f>IF(C19="","",F19*C19)</f>
        <v>38.94</v>
      </c>
    </row>
    <row r="20" spans="1:7" ht="16.5" customHeight="1">
      <c r="A20" s="6"/>
      <c r="B20" s="7" t="s">
        <v>108</v>
      </c>
      <c r="C20" s="3">
        <v>6</v>
      </c>
      <c r="D20" s="4"/>
      <c r="E20" s="5"/>
      <c r="F20" s="19">
        <v>1.73</v>
      </c>
      <c r="G20" s="21">
        <f>IF(C20="","",F20*C20)</f>
        <v>10.379999999999999</v>
      </c>
    </row>
    <row r="21" spans="1:7" ht="16.5" customHeight="1">
      <c r="A21" s="6"/>
      <c r="B21" s="7" t="s">
        <v>138</v>
      </c>
      <c r="C21" s="3">
        <v>6</v>
      </c>
      <c r="D21" s="4" t="s">
        <v>90</v>
      </c>
      <c r="E21" s="5"/>
      <c r="F21" s="18">
        <v>2.14</v>
      </c>
      <c r="G21" s="21">
        <f>F21*C21</f>
        <v>12.84</v>
      </c>
    </row>
    <row r="22" spans="1:7" ht="16.5" customHeight="1">
      <c r="A22" s="6"/>
      <c r="B22" s="7" t="s">
        <v>139</v>
      </c>
      <c r="C22" s="3">
        <v>6</v>
      </c>
      <c r="D22" s="4" t="s">
        <v>90</v>
      </c>
      <c r="E22" s="5"/>
      <c r="F22" s="18">
        <v>2.14</v>
      </c>
      <c r="G22" s="21">
        <f>F22*C22</f>
        <v>12.84</v>
      </c>
    </row>
    <row r="23" spans="1:7" ht="16.5" customHeight="1">
      <c r="A23" s="6"/>
      <c r="B23" s="7"/>
      <c r="C23" s="3"/>
      <c r="D23" s="4"/>
      <c r="E23" s="5"/>
      <c r="F23" s="18"/>
      <c r="G23" s="21"/>
    </row>
    <row r="24" spans="1:7" ht="16.5" customHeight="1">
      <c r="A24" s="6"/>
      <c r="B24" s="7" t="s">
        <v>140</v>
      </c>
      <c r="C24" s="3">
        <v>3</v>
      </c>
      <c r="D24" s="4" t="s">
        <v>99</v>
      </c>
      <c r="E24" s="5"/>
      <c r="F24" s="18">
        <v>4.7300000000000004</v>
      </c>
      <c r="G24" s="21">
        <f>F24*C24</f>
        <v>14.190000000000001</v>
      </c>
    </row>
    <row r="25" spans="1:7" ht="16.5" customHeight="1">
      <c r="A25" s="6"/>
      <c r="B25" s="2" t="s">
        <v>113</v>
      </c>
      <c r="C25" s="3">
        <v>11</v>
      </c>
      <c r="D25" s="4" t="s">
        <v>90</v>
      </c>
      <c r="E25" s="5"/>
      <c r="F25" s="18">
        <v>0.8</v>
      </c>
      <c r="G25" s="21">
        <f>F25*C25</f>
        <v>8.8000000000000007</v>
      </c>
    </row>
    <row r="26" spans="1:7" ht="16.5" customHeight="1">
      <c r="A26" s="6"/>
      <c r="B26" s="2" t="s">
        <v>114</v>
      </c>
      <c r="C26" s="3">
        <v>2</v>
      </c>
      <c r="D26" s="4" t="s">
        <v>99</v>
      </c>
      <c r="E26" s="5"/>
      <c r="F26" s="18">
        <v>11.54</v>
      </c>
      <c r="G26" s="21">
        <f>F26*C26</f>
        <v>23.08</v>
      </c>
    </row>
    <row r="27" spans="1:7" ht="16.5" customHeight="1">
      <c r="A27" s="6"/>
      <c r="B27" s="2" t="s">
        <v>141</v>
      </c>
      <c r="C27" s="3">
        <v>5</v>
      </c>
      <c r="D27" s="4" t="s">
        <v>90</v>
      </c>
      <c r="E27" s="5"/>
      <c r="F27" s="18">
        <v>0.53</v>
      </c>
      <c r="G27" s="21">
        <f>F27*C27</f>
        <v>2.6500000000000004</v>
      </c>
    </row>
    <row r="28" spans="1:7" ht="16.5" customHeight="1">
      <c r="A28" s="6"/>
      <c r="B28" s="2" t="s">
        <v>98</v>
      </c>
      <c r="C28" s="3">
        <v>3</v>
      </c>
      <c r="D28" s="4" t="s">
        <v>99</v>
      </c>
      <c r="E28" s="5"/>
      <c r="F28" s="18">
        <v>1.64</v>
      </c>
      <c r="G28" s="21">
        <f>F28*C28</f>
        <v>4.92</v>
      </c>
    </row>
    <row r="29" spans="1:7" ht="16.5" customHeight="1">
      <c r="A29" s="6"/>
      <c r="B29" s="2" t="s">
        <v>79</v>
      </c>
      <c r="C29" s="3">
        <v>1</v>
      </c>
      <c r="D29" s="4" t="s">
        <v>99</v>
      </c>
      <c r="E29" s="5"/>
      <c r="F29" s="18">
        <v>11.61</v>
      </c>
      <c r="G29" s="21">
        <f>F29*C29</f>
        <v>11.61</v>
      </c>
    </row>
    <row r="30" spans="1:7" ht="16.5" customHeight="1">
      <c r="A30" s="6"/>
      <c r="B30" s="2" t="s">
        <v>117</v>
      </c>
      <c r="C30" s="3">
        <v>4</v>
      </c>
      <c r="D30" s="4" t="s">
        <v>90</v>
      </c>
      <c r="E30" s="5" t="s">
        <v>142</v>
      </c>
      <c r="F30" s="18">
        <v>0.8</v>
      </c>
      <c r="G30" s="21">
        <f>F30*C30</f>
        <v>3.2</v>
      </c>
    </row>
    <row r="31" spans="1:7" ht="16.5" customHeight="1">
      <c r="A31" s="6"/>
      <c r="B31" s="2" t="s">
        <v>45</v>
      </c>
      <c r="C31" s="3">
        <v>5</v>
      </c>
      <c r="D31" s="4" t="s">
        <v>67</v>
      </c>
      <c r="E31" s="5"/>
      <c r="F31" s="18">
        <v>1</v>
      </c>
      <c r="G31" s="21">
        <f>F31*C31</f>
        <v>5</v>
      </c>
    </row>
    <row r="32" spans="1:7" ht="16.5" customHeight="1">
      <c r="A32" s="6"/>
      <c r="B32" s="2" t="s">
        <v>119</v>
      </c>
      <c r="C32" s="3">
        <v>4</v>
      </c>
      <c r="D32" s="4" t="s">
        <v>90</v>
      </c>
      <c r="E32" s="5"/>
      <c r="F32" s="18">
        <v>0.8</v>
      </c>
      <c r="G32" s="21">
        <f>F32*C32</f>
        <v>3.2</v>
      </c>
    </row>
    <row r="33" spans="1:7" ht="16.5" customHeight="1">
      <c r="A33" s="6"/>
      <c r="B33" s="2" t="s">
        <v>120</v>
      </c>
      <c r="C33" s="3">
        <v>1</v>
      </c>
      <c r="D33" s="4" t="s">
        <v>81</v>
      </c>
      <c r="E33" s="5" t="s">
        <v>143</v>
      </c>
      <c r="F33" s="18">
        <v>6.28</v>
      </c>
      <c r="G33" s="21">
        <f>F33*C33</f>
        <v>6.28</v>
      </c>
    </row>
    <row r="34" spans="1:7" ht="16.5" customHeight="1">
      <c r="A34" s="6"/>
      <c r="B34" s="2" t="s">
        <v>121</v>
      </c>
      <c r="C34" s="3">
        <v>1</v>
      </c>
      <c r="D34" s="4" t="s">
        <v>99</v>
      </c>
      <c r="E34" s="5"/>
      <c r="F34" s="18">
        <v>2.19</v>
      </c>
      <c r="G34" s="21">
        <f>F34*C34</f>
        <v>2.19</v>
      </c>
    </row>
    <row r="35" spans="1:7" ht="16.5" customHeight="1">
      <c r="A35" s="6"/>
      <c r="B35" s="2" t="s">
        <v>97</v>
      </c>
      <c r="C35" s="3">
        <v>1</v>
      </c>
      <c r="D35" s="4" t="s">
        <v>81</v>
      </c>
      <c r="E35" s="5" t="s">
        <v>144</v>
      </c>
      <c r="F35" s="18">
        <v>2.4700000000000002</v>
      </c>
      <c r="G35" s="21">
        <f>F35*C35</f>
        <v>2.4700000000000002</v>
      </c>
    </row>
    <row r="36" spans="1:7" ht="16.5" customHeight="1">
      <c r="A36" s="6"/>
      <c r="B36" s="2" t="s">
        <v>123</v>
      </c>
      <c r="C36" s="3">
        <v>1</v>
      </c>
      <c r="D36" s="4" t="s">
        <v>81</v>
      </c>
      <c r="E36" s="5" t="s">
        <v>143</v>
      </c>
      <c r="F36" s="18">
        <v>3.29</v>
      </c>
      <c r="G36" s="21">
        <f>F36*C36</f>
        <v>3.29</v>
      </c>
    </row>
    <row r="37" spans="1:7" ht="16.5" customHeight="1">
      <c r="A37" s="6"/>
      <c r="B37" s="2" t="s">
        <v>87</v>
      </c>
      <c r="C37" s="3">
        <v>4</v>
      </c>
      <c r="D37" s="4" t="s">
        <v>88</v>
      </c>
      <c r="E37" s="5"/>
      <c r="F37" s="18">
        <v>1.58</v>
      </c>
      <c r="G37" s="21">
        <f>F37*C37</f>
        <v>6.32</v>
      </c>
    </row>
    <row r="38" spans="1:7" ht="16.5" customHeight="1">
      <c r="A38" s="6"/>
      <c r="B38" s="2" t="s">
        <v>124</v>
      </c>
      <c r="C38" s="3">
        <v>2</v>
      </c>
      <c r="D38" s="4" t="s">
        <v>88</v>
      </c>
      <c r="E38" s="5"/>
      <c r="F38" s="18">
        <v>1.44</v>
      </c>
      <c r="G38" s="21">
        <f>F38*C38</f>
        <v>2.88</v>
      </c>
    </row>
    <row r="39" spans="1:7" ht="16.5" customHeight="1">
      <c r="A39" s="6"/>
      <c r="B39" s="2"/>
      <c r="C39" s="3"/>
      <c r="D39" s="4"/>
      <c r="E39" s="5"/>
      <c r="F39" s="18"/>
      <c r="G39" s="21"/>
    </row>
    <row r="40" spans="1:7" ht="16.5" customHeight="1">
      <c r="A40" s="6"/>
      <c r="B40" s="2" t="s">
        <v>126</v>
      </c>
      <c r="C40" s="3">
        <v>4</v>
      </c>
      <c r="D40" s="4" t="s">
        <v>88</v>
      </c>
      <c r="E40" s="5"/>
      <c r="F40" s="18">
        <v>1.56</v>
      </c>
      <c r="G40" s="21">
        <f>F40*C40</f>
        <v>6.24</v>
      </c>
    </row>
    <row r="41" spans="1:7" ht="16.5" customHeight="1">
      <c r="A41" s="6"/>
      <c r="B41" s="2"/>
      <c r="C41" s="3"/>
      <c r="D41" s="4"/>
      <c r="E41" s="5"/>
      <c r="F41" s="18"/>
      <c r="G41" s="21"/>
    </row>
    <row r="42" spans="1:7" ht="16.5" customHeight="1">
      <c r="B42" s="9"/>
      <c r="C42" s="10"/>
      <c r="D42" s="9"/>
      <c r="F42" s="20"/>
      <c r="G42" s="20"/>
    </row>
    <row r="43" spans="1:7" ht="16.5" customHeight="1">
      <c r="B43" s="9"/>
      <c r="C43" s="10"/>
      <c r="D43" s="9"/>
      <c r="F43" s="11">
        <f>SUM(G3:G41)</f>
        <v>371.78999999999996</v>
      </c>
      <c r="G43" s="20"/>
    </row>
    <row r="44" spans="1:7" ht="16.5" customHeight="1">
      <c r="B44" s="9"/>
      <c r="C44" s="10"/>
      <c r="D44" s="9"/>
      <c r="F44" s="20"/>
      <c r="G44" s="20"/>
    </row>
  </sheetData>
  <mergeCells count="1">
    <mergeCell ref="A1:G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0FE3A-C5C5-4763-A08D-AF369839300B}">
  <sheetPr>
    <pageSetUpPr fitToPage="1"/>
  </sheetPr>
  <dimension ref="A1:G31"/>
  <sheetViews>
    <sheetView workbookViewId="0"/>
  </sheetViews>
  <sheetFormatPr defaultRowHeight="15"/>
  <cols>
    <col min="1" max="1" width="16.42578125" bestFit="1" customWidth="1"/>
    <col min="2" max="2" width="29" bestFit="1" customWidth="1"/>
    <col min="3" max="3" width="18.85546875" bestFit="1" customWidth="1"/>
    <col min="4" max="4" width="6.5703125" bestFit="1" customWidth="1"/>
    <col min="5" max="5" width="15.140625" bestFit="1" customWidth="1"/>
    <col min="6" max="6" width="14.5703125" bestFit="1" customWidth="1"/>
    <col min="7" max="7" width="8.7109375" bestFit="1" customWidth="1"/>
  </cols>
  <sheetData>
    <row r="1" spans="1:7" ht="21">
      <c r="A1" s="49" t="s">
        <v>145</v>
      </c>
      <c r="B1" s="50" t="s">
        <v>49</v>
      </c>
      <c r="C1" s="51" t="s">
        <v>146</v>
      </c>
      <c r="D1" s="50" t="s">
        <v>5</v>
      </c>
      <c r="E1" s="52" t="s">
        <v>51</v>
      </c>
      <c r="F1" s="53" t="s">
        <v>52</v>
      </c>
      <c r="G1" s="53" t="s">
        <v>53</v>
      </c>
    </row>
    <row r="2" spans="1:7">
      <c r="A2" s="54"/>
      <c r="B2" s="55" t="s">
        <v>147</v>
      </c>
      <c r="C2" s="3">
        <v>1</v>
      </c>
      <c r="D2" s="4" t="s">
        <v>81</v>
      </c>
      <c r="E2" s="5" t="s">
        <v>148</v>
      </c>
      <c r="F2" s="19">
        <v>10.050000000000001</v>
      </c>
      <c r="G2" s="21">
        <f>C2*F2</f>
        <v>10.050000000000001</v>
      </c>
    </row>
    <row r="3" spans="1:7">
      <c r="A3" s="54"/>
      <c r="B3" s="55" t="s">
        <v>149</v>
      </c>
      <c r="C3" s="3">
        <v>1</v>
      </c>
      <c r="D3" s="4" t="s">
        <v>96</v>
      </c>
      <c r="E3" s="5" t="s">
        <v>150</v>
      </c>
      <c r="F3" s="19">
        <v>3.99</v>
      </c>
      <c r="G3" s="21">
        <f>C3*F3</f>
        <v>3.99</v>
      </c>
    </row>
    <row r="4" spans="1:7">
      <c r="A4" s="54"/>
      <c r="B4" s="55" t="s">
        <v>151</v>
      </c>
      <c r="C4" s="3">
        <v>1</v>
      </c>
      <c r="D4" s="4" t="s">
        <v>96</v>
      </c>
      <c r="E4" s="5" t="s">
        <v>152</v>
      </c>
      <c r="F4" s="19">
        <v>5.17</v>
      </c>
      <c r="G4" s="21">
        <f>C4*F4</f>
        <v>5.17</v>
      </c>
    </row>
    <row r="5" spans="1:7">
      <c r="A5" s="54"/>
      <c r="B5" s="55" t="s">
        <v>153</v>
      </c>
      <c r="C5" s="3">
        <v>4</v>
      </c>
      <c r="D5" s="4" t="s">
        <v>81</v>
      </c>
      <c r="E5" s="5"/>
      <c r="F5" s="19">
        <v>2.06</v>
      </c>
      <c r="G5" s="21">
        <f>C5*F5</f>
        <v>8.24</v>
      </c>
    </row>
    <row r="6" spans="1:7">
      <c r="A6" s="54"/>
      <c r="B6" s="55" t="s">
        <v>154</v>
      </c>
      <c r="C6" s="3">
        <v>5</v>
      </c>
      <c r="D6" s="4" t="s">
        <v>88</v>
      </c>
      <c r="E6" s="5"/>
      <c r="F6" s="19">
        <v>1.73</v>
      </c>
      <c r="G6" s="21">
        <f>C6*F6</f>
        <v>8.65</v>
      </c>
    </row>
    <row r="7" spans="1:7">
      <c r="A7" s="54"/>
      <c r="B7" s="55" t="s">
        <v>155</v>
      </c>
      <c r="C7" s="3">
        <v>1</v>
      </c>
      <c r="D7" s="4" t="s">
        <v>96</v>
      </c>
      <c r="E7" s="5">
        <v>12</v>
      </c>
      <c r="F7" s="19">
        <v>12.4</v>
      </c>
      <c r="G7" s="21">
        <f>C7*F7</f>
        <v>12.4</v>
      </c>
    </row>
    <row r="8" spans="1:7">
      <c r="A8" s="56"/>
      <c r="B8" s="55" t="s">
        <v>156</v>
      </c>
      <c r="C8" s="3">
        <v>1</v>
      </c>
      <c r="D8" s="4" t="s">
        <v>96</v>
      </c>
      <c r="E8" s="5">
        <v>12</v>
      </c>
      <c r="F8" s="19">
        <v>12.4</v>
      </c>
      <c r="G8" s="21">
        <f>C8*F8</f>
        <v>12.4</v>
      </c>
    </row>
    <row r="9" spans="1:7">
      <c r="A9" s="56"/>
      <c r="B9" s="55" t="s">
        <v>157</v>
      </c>
      <c r="C9" s="3">
        <v>1</v>
      </c>
      <c r="D9" s="4" t="s">
        <v>96</v>
      </c>
      <c r="E9" s="5">
        <v>12</v>
      </c>
      <c r="F9" s="19">
        <v>12.9</v>
      </c>
      <c r="G9" s="21">
        <f>C9*F9</f>
        <v>12.9</v>
      </c>
    </row>
    <row r="10" spans="1:7">
      <c r="A10" s="56"/>
      <c r="B10" s="55" t="s">
        <v>158</v>
      </c>
      <c r="C10" s="3">
        <v>1</v>
      </c>
      <c r="D10" s="4" t="s">
        <v>96</v>
      </c>
      <c r="E10" s="5">
        <v>12</v>
      </c>
      <c r="F10" s="19">
        <v>12.9</v>
      </c>
      <c r="G10" s="21">
        <f>C10*F10</f>
        <v>12.9</v>
      </c>
    </row>
    <row r="11" spans="1:7">
      <c r="A11" s="56"/>
      <c r="B11" s="55" t="s">
        <v>159</v>
      </c>
      <c r="C11" s="3">
        <v>1</v>
      </c>
      <c r="D11" s="4" t="s">
        <v>99</v>
      </c>
      <c r="E11" s="5"/>
      <c r="F11" s="19">
        <v>11.54</v>
      </c>
      <c r="G11" s="21">
        <f>C11*F11</f>
        <v>11.54</v>
      </c>
    </row>
    <row r="12" spans="1:7">
      <c r="A12" s="56"/>
      <c r="B12" s="55" t="s">
        <v>160</v>
      </c>
      <c r="C12" s="3">
        <v>6</v>
      </c>
      <c r="D12" s="4" t="s">
        <v>88</v>
      </c>
      <c r="E12" s="5"/>
      <c r="F12" s="19">
        <v>0.57999999999999996</v>
      </c>
      <c r="G12" s="21">
        <f>C12*F12</f>
        <v>3.4799999999999995</v>
      </c>
    </row>
    <row r="13" spans="1:7">
      <c r="A13" s="56"/>
      <c r="B13" s="55" t="s">
        <v>161</v>
      </c>
      <c r="C13" s="3">
        <v>1</v>
      </c>
      <c r="D13" s="4" t="s">
        <v>81</v>
      </c>
      <c r="E13" s="5"/>
      <c r="F13" s="19">
        <v>1.88</v>
      </c>
      <c r="G13" s="21">
        <f>C13*F13</f>
        <v>1.88</v>
      </c>
    </row>
    <row r="14" spans="1:7">
      <c r="A14" s="56"/>
      <c r="B14" s="55" t="s">
        <v>162</v>
      </c>
      <c r="C14" s="3">
        <v>1</v>
      </c>
      <c r="D14" s="4" t="s">
        <v>99</v>
      </c>
      <c r="E14" s="5"/>
      <c r="F14" s="19">
        <v>10.220000000000001</v>
      </c>
      <c r="G14" s="21">
        <f>C14*F14</f>
        <v>10.220000000000001</v>
      </c>
    </row>
    <row r="15" spans="1:7">
      <c r="A15" s="56"/>
      <c r="B15" s="55" t="s">
        <v>163</v>
      </c>
      <c r="C15" s="3">
        <v>6</v>
      </c>
      <c r="D15" s="4" t="s">
        <v>88</v>
      </c>
      <c r="E15" s="5"/>
      <c r="F15" s="19">
        <v>0.81</v>
      </c>
      <c r="G15" s="21">
        <f>C15*F15</f>
        <v>4.8600000000000003</v>
      </c>
    </row>
    <row r="16" spans="1:7">
      <c r="A16" s="56"/>
      <c r="B16" s="55" t="s">
        <v>164</v>
      </c>
      <c r="C16" s="3">
        <v>6</v>
      </c>
      <c r="D16" s="4" t="s">
        <v>88</v>
      </c>
      <c r="E16" s="5"/>
      <c r="F16" s="19">
        <v>0.81</v>
      </c>
      <c r="G16" s="21">
        <f>C16*F16</f>
        <v>4.8600000000000003</v>
      </c>
    </row>
    <row r="17" spans="1:7">
      <c r="A17" s="56"/>
      <c r="B17" s="55" t="s">
        <v>18</v>
      </c>
      <c r="C17" s="3">
        <v>1</v>
      </c>
      <c r="D17" s="4" t="s">
        <v>90</v>
      </c>
      <c r="E17" s="5"/>
      <c r="F17" s="19">
        <v>0.55000000000000004</v>
      </c>
      <c r="G17" s="21">
        <f>C17*F17</f>
        <v>0.55000000000000004</v>
      </c>
    </row>
    <row r="18" spans="1:7">
      <c r="A18" s="56"/>
      <c r="B18" s="55" t="s">
        <v>165</v>
      </c>
      <c r="C18" s="3">
        <v>4</v>
      </c>
      <c r="D18" s="4" t="s">
        <v>88</v>
      </c>
      <c r="E18" s="5"/>
      <c r="F18" s="19">
        <v>1.56</v>
      </c>
      <c r="G18" s="21">
        <f>C18*F18</f>
        <v>6.24</v>
      </c>
    </row>
    <row r="19" spans="1:7">
      <c r="A19" s="56"/>
      <c r="B19" s="55" t="s">
        <v>166</v>
      </c>
      <c r="C19" s="3">
        <v>1</v>
      </c>
      <c r="D19" s="4" t="s">
        <v>81</v>
      </c>
      <c r="E19" s="5" t="s">
        <v>167</v>
      </c>
      <c r="F19" s="19">
        <v>16.53</v>
      </c>
      <c r="G19" s="21">
        <f>C19*F19</f>
        <v>16.53</v>
      </c>
    </row>
    <row r="20" spans="1:7">
      <c r="A20" s="56"/>
      <c r="B20" s="57" t="s">
        <v>168</v>
      </c>
      <c r="C20" s="3">
        <v>2</v>
      </c>
      <c r="D20" s="4" t="s">
        <v>99</v>
      </c>
      <c r="E20" s="5"/>
      <c r="F20" s="19">
        <v>1.97</v>
      </c>
      <c r="G20" s="21">
        <f>C20*F20</f>
        <v>3.94</v>
      </c>
    </row>
    <row r="21" spans="1:7">
      <c r="A21" s="56"/>
      <c r="B21" s="57" t="s">
        <v>115</v>
      </c>
      <c r="C21" s="3">
        <v>6</v>
      </c>
      <c r="D21" s="4" t="s">
        <v>90</v>
      </c>
      <c r="E21" s="5"/>
      <c r="F21" s="19">
        <v>0.53</v>
      </c>
      <c r="G21" s="21">
        <f>C21*F21</f>
        <v>3.18</v>
      </c>
    </row>
    <row r="22" spans="1:7">
      <c r="A22" s="56"/>
      <c r="B22" s="57" t="s">
        <v>169</v>
      </c>
      <c r="C22" s="3">
        <v>1</v>
      </c>
      <c r="D22" s="4" t="s">
        <v>96</v>
      </c>
      <c r="E22" s="5" t="s">
        <v>170</v>
      </c>
      <c r="F22" s="19">
        <v>13.44</v>
      </c>
      <c r="G22" s="21">
        <f>C22*F22</f>
        <v>13.44</v>
      </c>
    </row>
    <row r="23" spans="1:7">
      <c r="A23" s="56"/>
      <c r="B23" s="57" t="s">
        <v>171</v>
      </c>
      <c r="C23" s="3">
        <v>1</v>
      </c>
      <c r="D23" s="4" t="s">
        <v>81</v>
      </c>
      <c r="E23" s="5" t="s">
        <v>172</v>
      </c>
      <c r="F23" s="19">
        <v>3.79</v>
      </c>
      <c r="G23" s="21">
        <f>C23*F23</f>
        <v>3.79</v>
      </c>
    </row>
    <row r="24" spans="1:7">
      <c r="A24" s="56"/>
      <c r="B24" s="57" t="s">
        <v>173</v>
      </c>
      <c r="C24" s="3">
        <v>14</v>
      </c>
      <c r="D24" s="4" t="s">
        <v>88</v>
      </c>
      <c r="E24" s="5" t="s">
        <v>128</v>
      </c>
      <c r="F24" s="19">
        <v>1.3</v>
      </c>
      <c r="G24" s="21">
        <f>C24*F24</f>
        <v>18.2</v>
      </c>
    </row>
    <row r="25" spans="1:7">
      <c r="A25" s="56"/>
      <c r="B25" s="57" t="s">
        <v>174</v>
      </c>
      <c r="C25" s="3">
        <v>1</v>
      </c>
      <c r="D25" s="4" t="s">
        <v>99</v>
      </c>
      <c r="E25" s="5"/>
      <c r="F25" s="19">
        <v>2.19</v>
      </c>
      <c r="G25" s="21">
        <f>C25*F25</f>
        <v>2.19</v>
      </c>
    </row>
    <row r="26" spans="1:7">
      <c r="A26" s="56"/>
      <c r="B26" s="58"/>
      <c r="C26" s="3"/>
      <c r="D26" s="4"/>
      <c r="E26" s="5"/>
      <c r="F26" s="19"/>
      <c r="G26" s="21"/>
    </row>
    <row r="27" spans="1:7">
      <c r="A27" s="56"/>
      <c r="B27" s="58"/>
      <c r="C27" s="3"/>
      <c r="D27" s="4"/>
      <c r="E27" s="5"/>
      <c r="F27" s="19"/>
      <c r="G27" s="21"/>
    </row>
    <row r="28" spans="1:7">
      <c r="A28" s="56"/>
      <c r="B28" s="58"/>
      <c r="C28" s="3"/>
      <c r="D28" s="4"/>
      <c r="E28" s="5"/>
      <c r="F28" s="19"/>
      <c r="G28" s="21"/>
    </row>
    <row r="29" spans="1:7">
      <c r="A29" s="56"/>
      <c r="B29" s="58"/>
      <c r="C29" s="3"/>
      <c r="D29" s="4"/>
      <c r="E29" s="5"/>
      <c r="F29" s="19"/>
      <c r="G29" s="21"/>
    </row>
    <row r="30" spans="1:7">
      <c r="B30" s="9"/>
      <c r="C30" s="10"/>
      <c r="D30" s="9"/>
      <c r="F30" s="20"/>
      <c r="G30" s="20"/>
    </row>
    <row r="31" spans="1:7">
      <c r="B31" s="9"/>
      <c r="C31" s="10"/>
      <c r="D31" s="9"/>
      <c r="F31" s="59" t="s">
        <v>175</v>
      </c>
      <c r="G31" s="60">
        <f>SUM(G2:G30)</f>
        <v>191.6</v>
      </c>
    </row>
  </sheetData>
  <pageMargins left="0.7" right="0.7" top="0.75" bottom="0.75" header="0.3" footer="0.3"/>
  <pageSetup fitToHeight="0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B56D3-65C3-4E8D-A234-F81CB085D041}">
  <dimension ref="A1:G27"/>
  <sheetViews>
    <sheetView workbookViewId="0">
      <selection activeCell="B18" sqref="B18"/>
    </sheetView>
  </sheetViews>
  <sheetFormatPr defaultRowHeight="15"/>
  <cols>
    <col min="1" max="1" width="16.42578125" bestFit="1" customWidth="1"/>
    <col min="2" max="2" width="34.5703125" customWidth="1"/>
    <col min="3" max="3" width="18.85546875" bestFit="1" customWidth="1"/>
    <col min="4" max="4" width="6.5703125" bestFit="1" customWidth="1"/>
    <col min="5" max="5" width="15.140625" bestFit="1" customWidth="1"/>
    <col min="6" max="6" width="14.5703125" bestFit="1" customWidth="1"/>
    <col min="7" max="7" width="9.42578125" bestFit="1" customWidth="1"/>
  </cols>
  <sheetData>
    <row r="1" spans="1:7" ht="21">
      <c r="A1" s="49" t="s">
        <v>145</v>
      </c>
      <c r="B1" s="50" t="s">
        <v>49</v>
      </c>
      <c r="C1" s="51" t="s">
        <v>146</v>
      </c>
      <c r="D1" s="50" t="s">
        <v>5</v>
      </c>
      <c r="E1" s="52" t="s">
        <v>51</v>
      </c>
      <c r="F1" s="53" t="s">
        <v>52</v>
      </c>
      <c r="G1" s="53" t="s">
        <v>53</v>
      </c>
    </row>
    <row r="2" spans="1:7">
      <c r="A2" s="54"/>
      <c r="B2" s="55" t="s">
        <v>147</v>
      </c>
      <c r="C2" s="3">
        <v>1</v>
      </c>
      <c r="D2" s="4" t="s">
        <v>81</v>
      </c>
      <c r="E2" s="5" t="s">
        <v>148</v>
      </c>
      <c r="F2" s="19">
        <v>10.050000000000001</v>
      </c>
      <c r="G2" s="21">
        <f>C2*F2</f>
        <v>10.050000000000001</v>
      </c>
    </row>
    <row r="3" spans="1:7">
      <c r="A3" s="54"/>
      <c r="B3" s="55" t="s">
        <v>149</v>
      </c>
      <c r="C3" s="3">
        <v>1</v>
      </c>
      <c r="D3" s="4" t="s">
        <v>96</v>
      </c>
      <c r="E3" s="5" t="s">
        <v>150</v>
      </c>
      <c r="F3" s="19">
        <v>3.99</v>
      </c>
      <c r="G3" s="21">
        <f>C3*F3</f>
        <v>3.99</v>
      </c>
    </row>
    <row r="4" spans="1:7">
      <c r="A4" s="54"/>
      <c r="B4" s="55" t="s">
        <v>98</v>
      </c>
      <c r="C4" s="3">
        <v>1</v>
      </c>
      <c r="D4" s="4" t="s">
        <v>99</v>
      </c>
      <c r="E4" s="5"/>
      <c r="F4" s="19">
        <v>1.29</v>
      </c>
      <c r="G4" s="21">
        <f>C4*F4</f>
        <v>1.29</v>
      </c>
    </row>
    <row r="5" spans="1:7">
      <c r="A5" s="54"/>
      <c r="B5" s="55" t="s">
        <v>154</v>
      </c>
      <c r="C5" s="3">
        <v>5</v>
      </c>
      <c r="D5" s="4" t="s">
        <v>88</v>
      </c>
      <c r="E5" s="5"/>
      <c r="F5" s="19">
        <v>1.73</v>
      </c>
      <c r="G5" s="21">
        <f>C5*F5</f>
        <v>8.65</v>
      </c>
    </row>
    <row r="6" spans="1:7">
      <c r="A6" s="54"/>
      <c r="B6" s="55" t="s">
        <v>155</v>
      </c>
      <c r="C6" s="3">
        <v>1</v>
      </c>
      <c r="D6" s="4" t="s">
        <v>96</v>
      </c>
      <c r="E6" s="5">
        <v>12</v>
      </c>
      <c r="F6" s="19">
        <v>12.4</v>
      </c>
      <c r="G6" s="21">
        <f>C6*F6</f>
        <v>12.4</v>
      </c>
    </row>
    <row r="7" spans="1:7">
      <c r="A7" s="56"/>
      <c r="B7" s="55" t="s">
        <v>156</v>
      </c>
      <c r="C7" s="3">
        <v>1</v>
      </c>
      <c r="D7" s="4" t="s">
        <v>96</v>
      </c>
      <c r="E7" s="5">
        <v>12</v>
      </c>
      <c r="F7" s="19">
        <v>12.4</v>
      </c>
      <c r="G7" s="21">
        <f>C7*F7</f>
        <v>12.4</v>
      </c>
    </row>
    <row r="8" spans="1:7">
      <c r="A8" s="56"/>
      <c r="B8" s="55" t="s">
        <v>157</v>
      </c>
      <c r="C8" s="3">
        <v>1</v>
      </c>
      <c r="D8" s="4" t="s">
        <v>96</v>
      </c>
      <c r="E8" s="5">
        <v>12</v>
      </c>
      <c r="F8" s="19">
        <v>12.9</v>
      </c>
      <c r="G8" s="21">
        <f>C8*F8</f>
        <v>12.9</v>
      </c>
    </row>
    <row r="9" spans="1:7">
      <c r="A9" s="56"/>
      <c r="B9" s="55" t="s">
        <v>158</v>
      </c>
      <c r="C9" s="3">
        <v>1</v>
      </c>
      <c r="D9" s="4" t="s">
        <v>96</v>
      </c>
      <c r="E9" s="5">
        <v>12</v>
      </c>
      <c r="F9" s="19">
        <v>12.9</v>
      </c>
      <c r="G9" s="21">
        <f>C9*F9</f>
        <v>12.9</v>
      </c>
    </row>
    <row r="10" spans="1:7">
      <c r="A10" s="56"/>
      <c r="B10" s="55" t="s">
        <v>159</v>
      </c>
      <c r="C10" s="3">
        <v>1</v>
      </c>
      <c r="D10" s="4" t="s">
        <v>99</v>
      </c>
      <c r="E10" s="5"/>
      <c r="F10" s="19">
        <v>11.54</v>
      </c>
      <c r="G10" s="21">
        <f>C10*F10</f>
        <v>11.54</v>
      </c>
    </row>
    <row r="11" spans="1:7">
      <c r="A11" s="56"/>
      <c r="B11" s="55" t="s">
        <v>160</v>
      </c>
      <c r="C11" s="3">
        <v>6</v>
      </c>
      <c r="D11" s="4" t="s">
        <v>88</v>
      </c>
      <c r="E11" s="5"/>
      <c r="F11" s="19">
        <v>0.57999999999999996</v>
      </c>
      <c r="G11" s="21">
        <f>C11*F11</f>
        <v>3.4799999999999995</v>
      </c>
    </row>
    <row r="12" spans="1:7">
      <c r="A12" s="56"/>
      <c r="B12" s="55" t="s">
        <v>176</v>
      </c>
      <c r="C12" s="3">
        <v>1</v>
      </c>
      <c r="D12" s="4" t="s">
        <v>99</v>
      </c>
      <c r="E12" s="5"/>
      <c r="F12" s="19">
        <v>2.79</v>
      </c>
      <c r="G12" s="21">
        <f>C12*F12</f>
        <v>2.79</v>
      </c>
    </row>
    <row r="13" spans="1:7">
      <c r="A13" s="56"/>
      <c r="B13" s="55" t="s">
        <v>162</v>
      </c>
      <c r="C13" s="3">
        <v>1</v>
      </c>
      <c r="D13" s="4" t="s">
        <v>99</v>
      </c>
      <c r="E13" s="5"/>
      <c r="F13" s="19">
        <v>10.220000000000001</v>
      </c>
      <c r="G13" s="21">
        <f>C13*F13</f>
        <v>10.220000000000001</v>
      </c>
    </row>
    <row r="14" spans="1:7">
      <c r="A14" s="56"/>
      <c r="B14" s="55" t="s">
        <v>163</v>
      </c>
      <c r="C14" s="3">
        <v>6</v>
      </c>
      <c r="D14" s="4" t="s">
        <v>88</v>
      </c>
      <c r="E14" s="5"/>
      <c r="F14" s="19">
        <v>0.81</v>
      </c>
      <c r="G14" s="21">
        <f>C14*F14</f>
        <v>4.8600000000000003</v>
      </c>
    </row>
    <row r="15" spans="1:7">
      <c r="A15" s="56"/>
      <c r="B15" s="55" t="s">
        <v>177</v>
      </c>
      <c r="C15" s="3">
        <v>6</v>
      </c>
      <c r="D15" s="4" t="s">
        <v>88</v>
      </c>
      <c r="E15" s="5"/>
      <c r="F15" s="19">
        <v>0.81</v>
      </c>
      <c r="G15" s="21">
        <f>C15*F15</f>
        <v>4.8600000000000003</v>
      </c>
    </row>
    <row r="16" spans="1:7">
      <c r="A16" s="56"/>
      <c r="B16" s="55" t="s">
        <v>18</v>
      </c>
      <c r="C16" s="3">
        <v>18</v>
      </c>
      <c r="D16" s="4" t="s">
        <v>90</v>
      </c>
      <c r="E16" s="5"/>
      <c r="F16" s="19">
        <v>0.55000000000000004</v>
      </c>
      <c r="G16" s="21">
        <f>C16*F16</f>
        <v>9.9</v>
      </c>
    </row>
    <row r="17" spans="1:7">
      <c r="A17" s="56"/>
      <c r="B17" s="55" t="s">
        <v>165</v>
      </c>
      <c r="C17" s="3">
        <v>4</v>
      </c>
      <c r="D17" s="4" t="s">
        <v>88</v>
      </c>
      <c r="E17" s="5"/>
      <c r="F17" s="19">
        <v>1.56</v>
      </c>
      <c r="G17" s="21">
        <f>C17*F17</f>
        <v>6.24</v>
      </c>
    </row>
    <row r="18" spans="1:7">
      <c r="A18" s="56"/>
      <c r="B18" s="55" t="s">
        <v>166</v>
      </c>
      <c r="C18" s="3">
        <v>1</v>
      </c>
      <c r="D18" s="4" t="s">
        <v>81</v>
      </c>
      <c r="E18" s="5" t="s">
        <v>167</v>
      </c>
      <c r="F18" s="19">
        <v>16.53</v>
      </c>
      <c r="G18" s="21">
        <f>C18*F18</f>
        <v>16.53</v>
      </c>
    </row>
    <row r="19" spans="1:7">
      <c r="A19" s="56"/>
      <c r="B19" s="57" t="s">
        <v>168</v>
      </c>
      <c r="C19" s="3">
        <v>1</v>
      </c>
      <c r="D19" s="4" t="s">
        <v>99</v>
      </c>
      <c r="E19" s="5"/>
      <c r="F19" s="19">
        <v>1.97</v>
      </c>
      <c r="G19" s="21">
        <f>C19*F19</f>
        <v>1.97</v>
      </c>
    </row>
    <row r="20" spans="1:7">
      <c r="A20" s="56"/>
      <c r="B20" s="57" t="s">
        <v>173</v>
      </c>
      <c r="C20" s="3">
        <v>14</v>
      </c>
      <c r="D20" s="4" t="s">
        <v>88</v>
      </c>
      <c r="E20" s="5" t="s">
        <v>128</v>
      </c>
      <c r="F20" s="19">
        <v>1.3</v>
      </c>
      <c r="G20" s="21">
        <f>C20*F20</f>
        <v>18.2</v>
      </c>
    </row>
    <row r="21" spans="1:7">
      <c r="A21" s="56"/>
      <c r="B21" s="57" t="s">
        <v>174</v>
      </c>
      <c r="C21" s="3">
        <v>2</v>
      </c>
      <c r="D21" s="4" t="s">
        <v>99</v>
      </c>
      <c r="E21" s="5"/>
      <c r="F21" s="19">
        <v>2.19</v>
      </c>
      <c r="G21" s="21">
        <f>C21*F21</f>
        <v>4.38</v>
      </c>
    </row>
    <row r="22" spans="1:7">
      <c r="A22" s="56"/>
      <c r="B22" s="58" t="s">
        <v>149</v>
      </c>
      <c r="C22" s="3">
        <v>1</v>
      </c>
      <c r="D22" s="4" t="s">
        <v>96</v>
      </c>
      <c r="E22" s="5"/>
      <c r="F22" s="19">
        <v>3.99</v>
      </c>
      <c r="G22" s="21">
        <f>F22*C22</f>
        <v>3.99</v>
      </c>
    </row>
    <row r="23" spans="1:7">
      <c r="A23" s="56"/>
      <c r="B23" s="58"/>
      <c r="C23" s="3"/>
      <c r="D23" s="4"/>
      <c r="E23" s="5"/>
      <c r="F23" s="19"/>
      <c r="G23" s="21"/>
    </row>
    <row r="24" spans="1:7">
      <c r="A24" s="56"/>
      <c r="B24" s="58"/>
      <c r="C24" s="3"/>
      <c r="D24" s="4"/>
      <c r="E24" s="5"/>
      <c r="F24" s="19"/>
      <c r="G24" s="21"/>
    </row>
    <row r="25" spans="1:7">
      <c r="A25" s="56"/>
      <c r="B25" s="58"/>
      <c r="C25" s="3"/>
      <c r="D25" s="4"/>
      <c r="E25" s="5"/>
      <c r="F25" s="19"/>
      <c r="G25" s="21"/>
    </row>
    <row r="26" spans="1:7">
      <c r="B26" s="9"/>
      <c r="C26" s="10"/>
      <c r="D26" s="9"/>
      <c r="F26" s="20"/>
      <c r="G26" s="20"/>
    </row>
    <row r="27" spans="1:7">
      <c r="B27" s="9"/>
      <c r="C27" s="10"/>
      <c r="D27" s="9"/>
      <c r="F27" s="59" t="s">
        <v>175</v>
      </c>
      <c r="G27" s="60">
        <f>SUM(G2:G26)</f>
        <v>173.54000000000002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04DE7-47F8-49FE-9F13-6349A410C9ED}">
  <dimension ref="A1:G17"/>
  <sheetViews>
    <sheetView workbookViewId="0">
      <selection activeCell="B6" sqref="B6"/>
    </sheetView>
  </sheetViews>
  <sheetFormatPr defaultRowHeight="15"/>
  <cols>
    <col min="1" max="1" width="16.42578125" bestFit="1" customWidth="1"/>
    <col min="2" max="2" width="29" bestFit="1" customWidth="1"/>
    <col min="3" max="3" width="18.85546875" bestFit="1" customWidth="1"/>
    <col min="4" max="4" width="6.5703125" bestFit="1" customWidth="1"/>
    <col min="5" max="5" width="15.140625" bestFit="1" customWidth="1"/>
    <col min="6" max="6" width="14.5703125" bestFit="1" customWidth="1"/>
    <col min="7" max="7" width="9.42578125" bestFit="1" customWidth="1"/>
    <col min="12" max="12" width="25.28515625" customWidth="1"/>
    <col min="13" max="13" width="34" customWidth="1"/>
  </cols>
  <sheetData>
    <row r="1" spans="1:7" ht="21">
      <c r="A1" s="49" t="s">
        <v>145</v>
      </c>
      <c r="B1" s="50" t="s">
        <v>49</v>
      </c>
      <c r="C1" s="51" t="s">
        <v>146</v>
      </c>
      <c r="D1" s="50" t="s">
        <v>5</v>
      </c>
      <c r="E1" s="52" t="s">
        <v>51</v>
      </c>
      <c r="F1" s="53" t="s">
        <v>52</v>
      </c>
      <c r="G1" s="53" t="s">
        <v>53</v>
      </c>
    </row>
    <row r="2" spans="1:7">
      <c r="A2" s="54"/>
      <c r="B2" s="55" t="s">
        <v>154</v>
      </c>
      <c r="C2" s="3">
        <v>3</v>
      </c>
      <c r="D2" s="4" t="s">
        <v>88</v>
      </c>
      <c r="E2" s="5"/>
      <c r="F2" s="19">
        <v>1.73</v>
      </c>
      <c r="G2" s="21">
        <f>C2*F2</f>
        <v>5.1899999999999995</v>
      </c>
    </row>
    <row r="3" spans="1:7">
      <c r="A3" s="56"/>
      <c r="B3" s="55" t="s">
        <v>159</v>
      </c>
      <c r="C3" s="3">
        <v>1</v>
      </c>
      <c r="D3" s="4" t="s">
        <v>99</v>
      </c>
      <c r="E3" s="5"/>
      <c r="F3" s="19">
        <v>11.54</v>
      </c>
      <c r="G3" s="21">
        <f>C3*F3</f>
        <v>11.54</v>
      </c>
    </row>
    <row r="4" spans="1:7">
      <c r="A4" s="56"/>
      <c r="B4" s="55" t="s">
        <v>163</v>
      </c>
      <c r="C4" s="3">
        <v>5</v>
      </c>
      <c r="D4" s="4" t="s">
        <v>88</v>
      </c>
      <c r="E4" s="5"/>
      <c r="F4" s="19">
        <v>0.81</v>
      </c>
      <c r="G4" s="21">
        <f>C4*F4</f>
        <v>4.0500000000000007</v>
      </c>
    </row>
    <row r="5" spans="1:7">
      <c r="A5" s="56"/>
      <c r="B5" s="55" t="s">
        <v>164</v>
      </c>
      <c r="C5" s="3">
        <v>5</v>
      </c>
      <c r="D5" s="4" t="s">
        <v>88</v>
      </c>
      <c r="E5" s="5"/>
      <c r="F5" s="19">
        <v>0.81</v>
      </c>
      <c r="G5" s="21">
        <f>C5*F5</f>
        <v>4.0500000000000007</v>
      </c>
    </row>
    <row r="6" spans="1:7">
      <c r="A6" s="56"/>
      <c r="B6" s="55" t="s">
        <v>178</v>
      </c>
      <c r="C6" s="3">
        <v>1</v>
      </c>
      <c r="D6" s="4" t="s">
        <v>61</v>
      </c>
      <c r="E6" s="5"/>
      <c r="F6" s="19">
        <v>14.9</v>
      </c>
      <c r="G6" s="21">
        <f>C6*F6</f>
        <v>14.9</v>
      </c>
    </row>
    <row r="7" spans="1:7">
      <c r="A7" s="56"/>
      <c r="B7" s="55" t="s">
        <v>165</v>
      </c>
      <c r="C7" s="3">
        <v>4</v>
      </c>
      <c r="D7" s="4" t="s">
        <v>88</v>
      </c>
      <c r="E7" s="5"/>
      <c r="F7" s="19">
        <v>1.56</v>
      </c>
      <c r="G7" s="21">
        <f>C7*F7</f>
        <v>6.24</v>
      </c>
    </row>
    <row r="8" spans="1:7">
      <c r="A8" s="56"/>
      <c r="B8" s="55" t="s">
        <v>108</v>
      </c>
      <c r="C8" s="3">
        <v>1</v>
      </c>
      <c r="D8" s="4" t="s">
        <v>61</v>
      </c>
      <c r="E8" s="5"/>
      <c r="F8" s="19">
        <v>14.9</v>
      </c>
      <c r="G8" s="21">
        <f>C8*F8</f>
        <v>14.9</v>
      </c>
    </row>
    <row r="9" spans="1:7">
      <c r="A9" s="56"/>
      <c r="B9" s="57" t="s">
        <v>173</v>
      </c>
      <c r="C9" s="3">
        <v>14</v>
      </c>
      <c r="D9" s="4" t="s">
        <v>88</v>
      </c>
      <c r="E9" s="5" t="s">
        <v>128</v>
      </c>
      <c r="F9" s="19">
        <v>1.3</v>
      </c>
      <c r="G9" s="21">
        <f>C9*F9</f>
        <v>18.2</v>
      </c>
    </row>
    <row r="10" spans="1:7">
      <c r="A10" s="56"/>
      <c r="B10" s="58" t="s">
        <v>179</v>
      </c>
      <c r="C10" s="3">
        <v>6</v>
      </c>
      <c r="D10" s="4" t="s">
        <v>67</v>
      </c>
      <c r="E10" s="5"/>
      <c r="F10" s="19">
        <v>1.73</v>
      </c>
      <c r="G10" s="21">
        <f>F10*C10</f>
        <v>10.379999999999999</v>
      </c>
    </row>
    <row r="11" spans="1:7">
      <c r="A11" s="56"/>
      <c r="B11" s="58" t="s">
        <v>180</v>
      </c>
      <c r="C11" s="3">
        <v>2</v>
      </c>
      <c r="D11" s="4" t="s">
        <v>81</v>
      </c>
      <c r="E11" s="5"/>
      <c r="F11" s="19">
        <v>2.86</v>
      </c>
      <c r="G11" s="21">
        <f>F11*C11</f>
        <v>5.72</v>
      </c>
    </row>
    <row r="12" spans="1:7">
      <c r="A12" s="56"/>
      <c r="B12" s="58" t="s">
        <v>181</v>
      </c>
      <c r="C12" s="3">
        <v>2</v>
      </c>
      <c r="D12" s="4" t="s">
        <v>81</v>
      </c>
      <c r="E12" s="5"/>
      <c r="F12" s="19">
        <v>2.86</v>
      </c>
      <c r="G12" s="21">
        <f t="shared" ref="G12:G13" si="0">F12*C12</f>
        <v>5.72</v>
      </c>
    </row>
    <row r="13" spans="1:7">
      <c r="A13" s="56"/>
      <c r="B13" s="58" t="s">
        <v>182</v>
      </c>
      <c r="C13" s="3">
        <v>2</v>
      </c>
      <c r="D13" s="4" t="s">
        <v>81</v>
      </c>
      <c r="E13" s="5"/>
      <c r="F13" s="19">
        <v>2.86</v>
      </c>
      <c r="G13" s="21">
        <f t="shared" si="0"/>
        <v>5.72</v>
      </c>
    </row>
    <row r="14" spans="1:7">
      <c r="A14" s="56"/>
      <c r="B14" s="58" t="s">
        <v>183</v>
      </c>
      <c r="C14" s="3">
        <v>3</v>
      </c>
      <c r="D14" s="4" t="s">
        <v>81</v>
      </c>
      <c r="E14" s="5"/>
      <c r="F14" s="19">
        <v>2.06</v>
      </c>
      <c r="G14" s="21">
        <f>F14*C14</f>
        <v>6.18</v>
      </c>
    </row>
    <row r="15" spans="1:7">
      <c r="A15" s="56"/>
      <c r="B15" s="58"/>
      <c r="C15" s="3"/>
      <c r="D15" s="4"/>
      <c r="E15" s="5"/>
      <c r="F15" s="19"/>
      <c r="G15" s="21"/>
    </row>
    <row r="16" spans="1:7">
      <c r="B16" s="9"/>
      <c r="C16" s="10"/>
      <c r="D16" s="9"/>
      <c r="F16" s="20"/>
      <c r="G16" s="20"/>
    </row>
    <row r="17" spans="2:7">
      <c r="B17" s="9"/>
      <c r="C17" s="10"/>
      <c r="D17" s="9"/>
      <c r="F17" s="59" t="s">
        <v>175</v>
      </c>
      <c r="G17" s="60">
        <f>SUM(G2:G16)</f>
        <v>112.78999999999999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05500-D6B7-49B0-BA5B-3DC45913F038}">
  <dimension ref="A1:G20"/>
  <sheetViews>
    <sheetView workbookViewId="0">
      <selection activeCell="P14" sqref="P14"/>
    </sheetView>
  </sheetViews>
  <sheetFormatPr defaultRowHeight="15"/>
  <cols>
    <col min="1" max="1" width="16.42578125" bestFit="1" customWidth="1"/>
    <col min="2" max="2" width="36.28515625" customWidth="1"/>
    <col min="3" max="3" width="18.85546875" bestFit="1" customWidth="1"/>
    <col min="4" max="4" width="6.5703125" bestFit="1" customWidth="1"/>
    <col min="5" max="5" width="15.140625" bestFit="1" customWidth="1"/>
    <col min="6" max="6" width="14.5703125" bestFit="1" customWidth="1"/>
    <col min="7" max="7" width="9.42578125" bestFit="1" customWidth="1"/>
  </cols>
  <sheetData>
    <row r="1" spans="1:7" ht="21">
      <c r="A1" s="49" t="s">
        <v>145</v>
      </c>
      <c r="B1" s="50" t="s">
        <v>49</v>
      </c>
      <c r="C1" s="51" t="s">
        <v>146</v>
      </c>
      <c r="D1" s="50" t="s">
        <v>5</v>
      </c>
      <c r="E1" s="52" t="s">
        <v>51</v>
      </c>
      <c r="F1" s="53" t="s">
        <v>52</v>
      </c>
      <c r="G1" s="53" t="s">
        <v>53</v>
      </c>
    </row>
    <row r="2" spans="1:7">
      <c r="A2" s="54"/>
      <c r="B2" s="55" t="s">
        <v>154</v>
      </c>
      <c r="C2" s="3">
        <v>4</v>
      </c>
      <c r="D2" s="4" t="s">
        <v>88</v>
      </c>
      <c r="E2" s="5"/>
      <c r="F2" s="19">
        <v>1.73</v>
      </c>
      <c r="G2" s="21">
        <f>C2*F2</f>
        <v>6.92</v>
      </c>
    </row>
    <row r="3" spans="1:7">
      <c r="A3" s="54"/>
      <c r="B3" s="55" t="s">
        <v>184</v>
      </c>
      <c r="C3" s="3">
        <v>4</v>
      </c>
      <c r="D3" s="4" t="s">
        <v>88</v>
      </c>
      <c r="E3" s="5"/>
      <c r="F3" s="19">
        <v>1.73</v>
      </c>
      <c r="G3" s="21">
        <f>F3*C3</f>
        <v>6.92</v>
      </c>
    </row>
    <row r="4" spans="1:7">
      <c r="A4" s="54"/>
      <c r="B4" s="55" t="s">
        <v>185</v>
      </c>
      <c r="C4" s="3">
        <v>6</v>
      </c>
      <c r="D4" s="4" t="s">
        <v>88</v>
      </c>
      <c r="E4" s="5"/>
      <c r="F4" s="19">
        <v>1.59</v>
      </c>
      <c r="G4" s="21">
        <f>F4*C4</f>
        <v>9.5400000000000009</v>
      </c>
    </row>
    <row r="5" spans="1:7">
      <c r="A5" s="54"/>
      <c r="B5" s="55" t="s">
        <v>186</v>
      </c>
      <c r="C5" s="3">
        <v>6</v>
      </c>
      <c r="D5" s="4" t="s">
        <v>88</v>
      </c>
      <c r="E5" s="5"/>
      <c r="F5" s="19">
        <v>1.59</v>
      </c>
      <c r="G5" s="21">
        <f>F5*C5</f>
        <v>9.5400000000000009</v>
      </c>
    </row>
    <row r="6" spans="1:7">
      <c r="A6" s="54"/>
      <c r="B6" s="55" t="s">
        <v>187</v>
      </c>
      <c r="C6" s="3">
        <v>6</v>
      </c>
      <c r="D6" s="4" t="s">
        <v>88</v>
      </c>
      <c r="E6" s="5"/>
      <c r="F6" s="19">
        <v>1.59</v>
      </c>
      <c r="G6" s="21">
        <f>F6*C6</f>
        <v>9.5400000000000009</v>
      </c>
    </row>
    <row r="7" spans="1:7">
      <c r="A7" s="56"/>
      <c r="B7" s="55" t="s">
        <v>159</v>
      </c>
      <c r="C7" s="3">
        <v>1</v>
      </c>
      <c r="D7" s="4" t="s">
        <v>99</v>
      </c>
      <c r="E7" s="5"/>
      <c r="F7" s="19">
        <v>11.54</v>
      </c>
      <c r="G7" s="21">
        <f>C7*F7</f>
        <v>11.54</v>
      </c>
    </row>
    <row r="8" spans="1:7">
      <c r="A8" s="56"/>
      <c r="B8" s="55" t="s">
        <v>188</v>
      </c>
      <c r="C8" s="3">
        <v>4</v>
      </c>
      <c r="D8" s="4" t="s">
        <v>88</v>
      </c>
      <c r="E8" s="5"/>
      <c r="F8" s="19">
        <v>1.98</v>
      </c>
      <c r="G8" s="21">
        <f>C8*F8</f>
        <v>7.92</v>
      </c>
    </row>
    <row r="9" spans="1:7">
      <c r="A9" s="56"/>
      <c r="B9" s="55" t="s">
        <v>189</v>
      </c>
      <c r="C9" s="3">
        <v>8</v>
      </c>
      <c r="D9" s="4" t="s">
        <v>190</v>
      </c>
      <c r="E9" s="5"/>
      <c r="F9" s="19">
        <v>0.81</v>
      </c>
      <c r="G9" s="21">
        <f>C9*F9</f>
        <v>6.48</v>
      </c>
    </row>
    <row r="10" spans="1:7">
      <c r="A10" s="56"/>
      <c r="B10" s="55" t="s">
        <v>191</v>
      </c>
      <c r="C10" s="3">
        <v>1</v>
      </c>
      <c r="D10" s="4" t="s">
        <v>61</v>
      </c>
      <c r="E10" s="5"/>
      <c r="F10" s="19">
        <v>14.9</v>
      </c>
      <c r="G10" s="21">
        <f>C10*F10</f>
        <v>14.9</v>
      </c>
    </row>
    <row r="11" spans="1:7">
      <c r="A11" s="56"/>
      <c r="B11" s="55" t="s">
        <v>192</v>
      </c>
      <c r="C11" s="3">
        <v>1</v>
      </c>
      <c r="D11" s="4" t="s">
        <v>61</v>
      </c>
      <c r="E11" s="5">
        <v>1</v>
      </c>
      <c r="F11" s="19">
        <v>14.9</v>
      </c>
      <c r="G11" s="21">
        <f>C11*F11</f>
        <v>14.9</v>
      </c>
    </row>
    <row r="12" spans="1:7">
      <c r="A12" s="56"/>
      <c r="B12" s="57" t="s">
        <v>173</v>
      </c>
      <c r="C12" s="3">
        <v>14</v>
      </c>
      <c r="D12" s="4" t="s">
        <v>88</v>
      </c>
      <c r="E12" s="5" t="s">
        <v>128</v>
      </c>
      <c r="F12" s="19">
        <v>1.3</v>
      </c>
      <c r="G12" s="21">
        <f>C12*F12</f>
        <v>18.2</v>
      </c>
    </row>
    <row r="13" spans="1:7">
      <c r="A13" s="56"/>
      <c r="B13" s="58" t="s">
        <v>193</v>
      </c>
      <c r="C13" s="3">
        <v>4</v>
      </c>
      <c r="D13" s="4" t="s">
        <v>67</v>
      </c>
      <c r="E13" s="5"/>
      <c r="F13" s="19">
        <v>0.79</v>
      </c>
      <c r="G13" s="21">
        <f>F13*C13</f>
        <v>3.16</v>
      </c>
    </row>
    <row r="14" spans="1:7">
      <c r="A14" s="56"/>
      <c r="B14" s="58" t="s">
        <v>180</v>
      </c>
      <c r="C14" s="3">
        <v>1</v>
      </c>
      <c r="D14" s="4" t="s">
        <v>81</v>
      </c>
      <c r="E14" s="5"/>
      <c r="F14" s="19">
        <v>2.86</v>
      </c>
      <c r="G14" s="21">
        <f>F14*C14</f>
        <v>2.86</v>
      </c>
    </row>
    <row r="15" spans="1:7">
      <c r="A15" s="56"/>
      <c r="B15" s="58" t="s">
        <v>181</v>
      </c>
      <c r="C15" s="3">
        <v>1</v>
      </c>
      <c r="D15" s="4" t="s">
        <v>81</v>
      </c>
      <c r="E15" s="5"/>
      <c r="F15" s="19">
        <v>2.86</v>
      </c>
      <c r="G15" s="21">
        <f t="shared" ref="G15:G16" si="0">F15*C15</f>
        <v>2.86</v>
      </c>
    </row>
    <row r="16" spans="1:7">
      <c r="A16" s="56"/>
      <c r="B16" s="58" t="s">
        <v>182</v>
      </c>
      <c r="C16" s="3">
        <v>1</v>
      </c>
      <c r="D16" s="4" t="s">
        <v>81</v>
      </c>
      <c r="E16" s="5"/>
      <c r="F16" s="19">
        <v>2.86</v>
      </c>
      <c r="G16" s="21">
        <f t="shared" si="0"/>
        <v>2.86</v>
      </c>
    </row>
    <row r="17" spans="1:7">
      <c r="A17" s="56"/>
      <c r="B17" s="58" t="s">
        <v>183</v>
      </c>
      <c r="C17" s="3">
        <v>5</v>
      </c>
      <c r="D17" s="4" t="s">
        <v>81</v>
      </c>
      <c r="E17" s="5"/>
      <c r="F17" s="19">
        <v>2.06</v>
      </c>
      <c r="G17" s="21">
        <f>F17*C17</f>
        <v>10.3</v>
      </c>
    </row>
    <row r="18" spans="1:7">
      <c r="A18" s="56"/>
      <c r="B18" s="58"/>
      <c r="C18" s="3"/>
      <c r="D18" s="4"/>
      <c r="E18" s="5"/>
      <c r="F18" s="19"/>
      <c r="G18" s="21"/>
    </row>
    <row r="19" spans="1:7">
      <c r="B19" s="9"/>
      <c r="C19" s="10"/>
      <c r="D19" s="9"/>
      <c r="F19" s="20"/>
      <c r="G19" s="20"/>
    </row>
    <row r="20" spans="1:7">
      <c r="B20" s="9"/>
      <c r="C20" s="10"/>
      <c r="D20" s="9"/>
      <c r="F20" s="59" t="s">
        <v>175</v>
      </c>
      <c r="G20" s="60">
        <f>SUM(G2:G19)</f>
        <v>138.44000000000003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25935-E285-4E54-B199-9BE544B50CE7}">
  <dimension ref="A1:E27"/>
  <sheetViews>
    <sheetView workbookViewId="0">
      <selection activeCell="A23" sqref="A23"/>
    </sheetView>
  </sheetViews>
  <sheetFormatPr defaultRowHeight="15"/>
  <cols>
    <col min="1" max="1" width="45.7109375" customWidth="1"/>
    <col min="2" max="2" width="13.28515625" customWidth="1"/>
    <col min="3" max="3" width="21" customWidth="1"/>
    <col min="4" max="4" width="18.140625" customWidth="1"/>
    <col min="5" max="5" width="17.140625" customWidth="1"/>
  </cols>
  <sheetData>
    <row r="1" spans="1:5">
      <c r="A1" s="61" t="s">
        <v>49</v>
      </c>
      <c r="B1" s="61" t="s">
        <v>194</v>
      </c>
      <c r="C1" s="61" t="s">
        <v>5</v>
      </c>
      <c r="D1" s="61" t="s">
        <v>195</v>
      </c>
      <c r="E1" s="61" t="s">
        <v>53</v>
      </c>
    </row>
    <row r="2" spans="1:5">
      <c r="A2" t="s">
        <v>196</v>
      </c>
      <c r="B2" s="63">
        <v>14</v>
      </c>
      <c r="C2" t="s">
        <v>197</v>
      </c>
      <c r="D2" s="62">
        <v>1.3</v>
      </c>
      <c r="E2" s="62">
        <f>IF(D2="","",B2*D2)</f>
        <v>18.2</v>
      </c>
    </row>
    <row r="3" spans="1:5">
      <c r="A3" t="s">
        <v>198</v>
      </c>
      <c r="B3" s="63">
        <v>12</v>
      </c>
      <c r="C3" t="s">
        <v>88</v>
      </c>
      <c r="D3" s="62">
        <v>1.3</v>
      </c>
      <c r="E3" s="62">
        <f t="shared" ref="E3:E26" si="0">IF(D3="","",B3*D3)</f>
        <v>15.600000000000001</v>
      </c>
    </row>
    <row r="4" spans="1:5">
      <c r="A4" t="s">
        <v>199</v>
      </c>
      <c r="B4" s="63">
        <v>6</v>
      </c>
      <c r="C4" t="s">
        <v>200</v>
      </c>
      <c r="D4" s="62">
        <v>1.98</v>
      </c>
      <c r="E4" s="62">
        <f t="shared" si="0"/>
        <v>11.879999999999999</v>
      </c>
    </row>
    <row r="5" spans="1:5">
      <c r="A5" t="s">
        <v>201</v>
      </c>
      <c r="B5" s="63">
        <v>8</v>
      </c>
      <c r="C5" t="s">
        <v>202</v>
      </c>
      <c r="D5" s="62">
        <v>1.59</v>
      </c>
      <c r="E5" s="62">
        <f t="shared" si="0"/>
        <v>12.72</v>
      </c>
    </row>
    <row r="6" spans="1:5">
      <c r="A6" t="s">
        <v>203</v>
      </c>
      <c r="B6" s="63">
        <v>4</v>
      </c>
      <c r="C6" t="s">
        <v>204</v>
      </c>
      <c r="D6" s="62">
        <v>2.2799999999999998</v>
      </c>
      <c r="E6" s="62">
        <f t="shared" si="0"/>
        <v>9.1199999999999992</v>
      </c>
    </row>
    <row r="7" spans="1:5">
      <c r="A7" t="s">
        <v>205</v>
      </c>
      <c r="B7" s="63">
        <v>2</v>
      </c>
      <c r="C7" t="s">
        <v>206</v>
      </c>
      <c r="D7" s="62">
        <v>2.29</v>
      </c>
      <c r="E7" s="62">
        <f t="shared" si="0"/>
        <v>4.58</v>
      </c>
    </row>
    <row r="8" spans="1:5">
      <c r="A8" t="s">
        <v>43</v>
      </c>
      <c r="B8" s="63">
        <v>1</v>
      </c>
      <c r="C8" t="s">
        <v>207</v>
      </c>
      <c r="D8" s="62">
        <v>2.82</v>
      </c>
      <c r="E8" s="62">
        <f t="shared" si="0"/>
        <v>2.82</v>
      </c>
    </row>
    <row r="9" spans="1:5">
      <c r="A9" t="s">
        <v>208</v>
      </c>
      <c r="B9" s="63">
        <v>1</v>
      </c>
      <c r="C9" t="s">
        <v>209</v>
      </c>
      <c r="D9" s="62">
        <v>12.9</v>
      </c>
      <c r="E9" s="62">
        <f t="shared" si="0"/>
        <v>12.9</v>
      </c>
    </row>
    <row r="10" spans="1:5">
      <c r="A10" t="s">
        <v>108</v>
      </c>
      <c r="B10" s="63">
        <v>1</v>
      </c>
      <c r="C10" t="s">
        <v>96</v>
      </c>
      <c r="D10" s="62">
        <v>14.9</v>
      </c>
      <c r="E10" s="62">
        <f t="shared" si="0"/>
        <v>14.9</v>
      </c>
    </row>
    <row r="11" spans="1:5">
      <c r="A11" t="s">
        <v>18</v>
      </c>
      <c r="B11" s="63">
        <v>1</v>
      </c>
      <c r="C11" t="s">
        <v>96</v>
      </c>
      <c r="D11" s="62">
        <v>14.9</v>
      </c>
      <c r="E11" s="62">
        <f t="shared" si="0"/>
        <v>14.9</v>
      </c>
    </row>
    <row r="12" spans="1:5">
      <c r="A12" t="s">
        <v>210</v>
      </c>
      <c r="B12" s="63">
        <v>18</v>
      </c>
      <c r="C12" t="s">
        <v>211</v>
      </c>
      <c r="D12" s="62">
        <v>0.69</v>
      </c>
      <c r="E12" s="62">
        <f t="shared" si="0"/>
        <v>12.419999999999998</v>
      </c>
    </row>
    <row r="13" spans="1:5">
      <c r="A13" t="s">
        <v>212</v>
      </c>
      <c r="B13" s="63">
        <v>4</v>
      </c>
      <c r="C13" t="s">
        <v>81</v>
      </c>
      <c r="D13" s="62">
        <v>2.06</v>
      </c>
      <c r="E13" s="62">
        <f t="shared" si="0"/>
        <v>8.24</v>
      </c>
    </row>
    <row r="14" spans="1:5">
      <c r="A14" t="s">
        <v>98</v>
      </c>
      <c r="B14" s="63">
        <v>2</v>
      </c>
      <c r="C14" t="s">
        <v>99</v>
      </c>
      <c r="D14" s="62">
        <v>1.79</v>
      </c>
      <c r="E14" s="62">
        <f t="shared" si="0"/>
        <v>3.58</v>
      </c>
    </row>
    <row r="15" spans="1:5">
      <c r="A15" t="s">
        <v>213</v>
      </c>
      <c r="B15" s="63">
        <v>1</v>
      </c>
      <c r="C15" t="s">
        <v>81</v>
      </c>
      <c r="D15" s="62">
        <v>2.19</v>
      </c>
      <c r="E15" s="62">
        <f t="shared" si="0"/>
        <v>2.19</v>
      </c>
    </row>
    <row r="16" spans="1:5">
      <c r="A16" t="s">
        <v>214</v>
      </c>
      <c r="B16" s="63">
        <v>1</v>
      </c>
      <c r="C16" t="s">
        <v>81</v>
      </c>
      <c r="D16" s="62">
        <v>2.99</v>
      </c>
      <c r="E16" s="62">
        <f t="shared" si="0"/>
        <v>2.99</v>
      </c>
    </row>
    <row r="17" spans="1:5">
      <c r="A17" t="s">
        <v>215</v>
      </c>
      <c r="B17" s="63">
        <v>2</v>
      </c>
      <c r="C17" t="s">
        <v>81</v>
      </c>
      <c r="D17" s="62">
        <v>1.86</v>
      </c>
      <c r="E17" s="62">
        <f t="shared" si="0"/>
        <v>3.72</v>
      </c>
    </row>
    <row r="18" spans="1:5">
      <c r="A18" t="s">
        <v>121</v>
      </c>
      <c r="B18" s="63">
        <v>2</v>
      </c>
      <c r="C18" t="s">
        <v>99</v>
      </c>
      <c r="D18" s="62">
        <v>2.99</v>
      </c>
      <c r="E18" s="62">
        <f t="shared" si="0"/>
        <v>5.98</v>
      </c>
    </row>
    <row r="19" spans="1:5">
      <c r="A19" t="s">
        <v>216</v>
      </c>
      <c r="B19" s="63">
        <v>1</v>
      </c>
      <c r="C19" t="s">
        <v>99</v>
      </c>
      <c r="D19" s="62">
        <v>2.99</v>
      </c>
      <c r="E19" s="62">
        <f t="shared" si="0"/>
        <v>2.99</v>
      </c>
    </row>
    <row r="20" spans="1:5">
      <c r="A20" t="s">
        <v>217</v>
      </c>
      <c r="B20" s="63">
        <v>1</v>
      </c>
      <c r="C20" t="s">
        <v>81</v>
      </c>
      <c r="D20" s="62">
        <v>1.79</v>
      </c>
      <c r="E20" s="62">
        <f t="shared" si="0"/>
        <v>1.79</v>
      </c>
    </row>
    <row r="21" spans="1:5">
      <c r="A21" t="s">
        <v>218</v>
      </c>
      <c r="B21" s="63">
        <v>1</v>
      </c>
      <c r="C21" t="s">
        <v>99</v>
      </c>
      <c r="D21" s="62">
        <v>2.4900000000000002</v>
      </c>
      <c r="E21" s="62">
        <f t="shared" si="0"/>
        <v>2.4900000000000002</v>
      </c>
    </row>
    <row r="22" spans="1:5">
      <c r="A22" t="s">
        <v>120</v>
      </c>
      <c r="B22" s="63">
        <v>1</v>
      </c>
      <c r="C22" t="s">
        <v>81</v>
      </c>
      <c r="D22" s="62">
        <v>2.52</v>
      </c>
      <c r="E22" s="62">
        <f t="shared" si="0"/>
        <v>2.52</v>
      </c>
    </row>
    <row r="23" spans="1:5">
      <c r="A23" t="s">
        <v>102</v>
      </c>
      <c r="B23" s="63">
        <v>1</v>
      </c>
      <c r="C23" t="s">
        <v>99</v>
      </c>
      <c r="D23" s="62">
        <v>3.29</v>
      </c>
      <c r="E23" s="62">
        <f t="shared" si="0"/>
        <v>3.29</v>
      </c>
    </row>
    <row r="24" spans="1:5">
      <c r="A24" t="s">
        <v>219</v>
      </c>
      <c r="B24" s="63">
        <v>4</v>
      </c>
      <c r="C24" t="s">
        <v>88</v>
      </c>
      <c r="D24" s="62">
        <v>0.79</v>
      </c>
      <c r="E24" s="62">
        <f t="shared" si="0"/>
        <v>3.16</v>
      </c>
    </row>
    <row r="25" spans="1:5">
      <c r="A25" t="s">
        <v>220</v>
      </c>
      <c r="B25" s="63">
        <v>4</v>
      </c>
      <c r="C25" t="s">
        <v>88</v>
      </c>
      <c r="D25" s="62">
        <v>0.79</v>
      </c>
      <c r="E25" s="62">
        <f t="shared" si="0"/>
        <v>3.16</v>
      </c>
    </row>
    <row r="26" spans="1:5">
      <c r="A26" t="s">
        <v>221</v>
      </c>
      <c r="B26" s="63">
        <v>4</v>
      </c>
      <c r="C26" t="s">
        <v>88</v>
      </c>
      <c r="D26" s="62">
        <v>0.79</v>
      </c>
      <c r="E26" s="62">
        <f t="shared" si="0"/>
        <v>3.16</v>
      </c>
    </row>
    <row r="27" spans="1:5">
      <c r="A27" s="64"/>
      <c r="B27" s="64"/>
      <c r="C27" s="64"/>
      <c r="D27" s="65" t="s">
        <v>175</v>
      </c>
      <c r="E27" s="66">
        <f>SUM(E2:E26)</f>
        <v>179.3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64850-A311-41E9-B6C1-1F98E538CB23}">
  <dimension ref="A1:E19"/>
  <sheetViews>
    <sheetView workbookViewId="0">
      <selection activeCell="I20" sqref="I20"/>
    </sheetView>
  </sheetViews>
  <sheetFormatPr defaultRowHeight="15"/>
  <cols>
    <col min="1" max="1" width="41.85546875" customWidth="1"/>
    <col min="2" max="2" width="13.28515625" customWidth="1"/>
    <col min="3" max="3" width="21" customWidth="1"/>
    <col min="4" max="4" width="18.140625" customWidth="1"/>
    <col min="5" max="5" width="16.140625" customWidth="1"/>
  </cols>
  <sheetData>
    <row r="1" spans="1:5">
      <c r="A1" s="83" t="s">
        <v>49</v>
      </c>
      <c r="B1" s="83" t="s">
        <v>194</v>
      </c>
      <c r="C1" s="83" t="s">
        <v>5</v>
      </c>
      <c r="D1" s="83" t="s">
        <v>195</v>
      </c>
      <c r="E1" s="83" t="s">
        <v>53</v>
      </c>
    </row>
    <row r="2" spans="1:5">
      <c r="A2" s="67" t="s">
        <v>222</v>
      </c>
      <c r="B2" s="68">
        <v>6</v>
      </c>
      <c r="C2" s="67" t="s">
        <v>223</v>
      </c>
      <c r="D2" s="69">
        <v>0.81</v>
      </c>
      <c r="E2" s="69">
        <f>IF(D2="","",B2*D2)</f>
        <v>4.8600000000000003</v>
      </c>
    </row>
    <row r="3" spans="1:5">
      <c r="A3" s="70" t="s">
        <v>224</v>
      </c>
      <c r="B3" s="71">
        <v>6</v>
      </c>
      <c r="C3" s="70" t="s">
        <v>225</v>
      </c>
      <c r="D3" s="72">
        <v>0.57999999999999996</v>
      </c>
      <c r="E3" s="72">
        <f>IF(D3="","",B3*D3)</f>
        <v>3.4799999999999995</v>
      </c>
    </row>
    <row r="4" spans="1:5">
      <c r="A4" s="67" t="s">
        <v>201</v>
      </c>
      <c r="B4" s="68">
        <v>25</v>
      </c>
      <c r="C4" s="67" t="s">
        <v>226</v>
      </c>
      <c r="D4" s="69">
        <v>1.59</v>
      </c>
      <c r="E4" s="69">
        <f>IF(D4="","",B4*D4)</f>
        <v>39.75</v>
      </c>
    </row>
    <row r="5" spans="1:5">
      <c r="A5" s="70" t="s">
        <v>227</v>
      </c>
      <c r="B5" s="71">
        <v>6</v>
      </c>
      <c r="C5" s="70" t="s">
        <v>223</v>
      </c>
      <c r="D5" s="72">
        <v>1.98</v>
      </c>
      <c r="E5" s="72">
        <f>IF(D5="","",B5*D5)</f>
        <v>11.879999999999999</v>
      </c>
    </row>
    <row r="6" spans="1:5">
      <c r="A6" s="67" t="s">
        <v>228</v>
      </c>
      <c r="B6" s="68">
        <v>10</v>
      </c>
      <c r="C6" s="67" t="s">
        <v>204</v>
      </c>
      <c r="D6" s="69">
        <v>1.7</v>
      </c>
      <c r="E6" s="69">
        <f>IF(D6="","",B6*D6)</f>
        <v>17</v>
      </c>
    </row>
    <row r="7" spans="1:5">
      <c r="A7" s="70" t="s">
        <v>229</v>
      </c>
      <c r="B7" s="71">
        <v>1</v>
      </c>
      <c r="C7" s="70" t="s">
        <v>96</v>
      </c>
      <c r="D7" s="72">
        <v>19</v>
      </c>
      <c r="E7" s="72">
        <f>IF(D7="","",B7*D7)</f>
        <v>19</v>
      </c>
    </row>
    <row r="8" spans="1:5">
      <c r="A8" s="67" t="s">
        <v>230</v>
      </c>
      <c r="B8" s="68">
        <v>30</v>
      </c>
      <c r="C8" s="67" t="s">
        <v>211</v>
      </c>
      <c r="D8" s="69">
        <v>1.1399999999999999</v>
      </c>
      <c r="E8" s="69">
        <f>IF(D8="","",B8*D8)</f>
        <v>34.199999999999996</v>
      </c>
    </row>
    <row r="9" spans="1:5">
      <c r="A9" s="70" t="s">
        <v>231</v>
      </c>
      <c r="B9" s="71">
        <v>9</v>
      </c>
      <c r="C9" s="70" t="s">
        <v>232</v>
      </c>
      <c r="D9" s="72">
        <v>3.03</v>
      </c>
      <c r="E9" s="72">
        <f>IF(D9="","",B9*D9)</f>
        <v>27.27</v>
      </c>
    </row>
    <row r="10" spans="1:5">
      <c r="A10" s="67" t="s">
        <v>233</v>
      </c>
      <c r="B10" s="68">
        <v>12</v>
      </c>
      <c r="C10" s="67" t="s">
        <v>88</v>
      </c>
      <c r="D10" s="69">
        <v>2.88</v>
      </c>
      <c r="E10" s="69">
        <f>IF(D10="","",B10*D10)</f>
        <v>34.56</v>
      </c>
    </row>
    <row r="11" spans="1:5">
      <c r="A11" s="70" t="s">
        <v>234</v>
      </c>
      <c r="B11" s="71">
        <v>1</v>
      </c>
      <c r="C11" s="70" t="s">
        <v>235</v>
      </c>
      <c r="D11" s="72">
        <v>2.59</v>
      </c>
      <c r="E11" s="72">
        <f>IF(D11="","",B11*D11)</f>
        <v>2.59</v>
      </c>
    </row>
    <row r="12" spans="1:5">
      <c r="A12" s="67" t="s">
        <v>102</v>
      </c>
      <c r="B12" s="68">
        <v>1</v>
      </c>
      <c r="C12" s="67" t="s">
        <v>99</v>
      </c>
      <c r="D12" s="69">
        <v>3.29</v>
      </c>
      <c r="E12" s="69">
        <f>IF(D12="","",B12*D12)</f>
        <v>3.29</v>
      </c>
    </row>
    <row r="13" spans="1:5">
      <c r="A13" s="70" t="s">
        <v>236</v>
      </c>
      <c r="B13" s="71">
        <v>2</v>
      </c>
      <c r="C13" s="70" t="s">
        <v>99</v>
      </c>
      <c r="D13" s="72">
        <v>3.95</v>
      </c>
      <c r="E13" s="72">
        <f>IF(D13="","",B13*D13)</f>
        <v>7.9</v>
      </c>
    </row>
    <row r="14" spans="1:5">
      <c r="A14" s="67" t="s">
        <v>98</v>
      </c>
      <c r="B14" s="68">
        <v>2</v>
      </c>
      <c r="C14" s="67" t="s">
        <v>99</v>
      </c>
      <c r="D14" s="69">
        <v>1.65</v>
      </c>
      <c r="E14" s="69">
        <f>IF(D14="","",B14*D14)</f>
        <v>3.3</v>
      </c>
    </row>
    <row r="15" spans="1:5">
      <c r="A15" s="70" t="s">
        <v>237</v>
      </c>
      <c r="B15" s="71">
        <v>1</v>
      </c>
      <c r="C15" s="70" t="s">
        <v>238</v>
      </c>
      <c r="D15" s="72">
        <v>1.87</v>
      </c>
      <c r="E15" s="72">
        <f>IF(D15="","",B15*D15)</f>
        <v>1.87</v>
      </c>
    </row>
    <row r="16" spans="1:5">
      <c r="A16" s="67" t="s">
        <v>239</v>
      </c>
      <c r="B16" s="68">
        <v>1</v>
      </c>
      <c r="C16" s="67" t="s">
        <v>99</v>
      </c>
      <c r="D16" s="69">
        <v>2.81</v>
      </c>
      <c r="E16" s="69">
        <f>IF(D16="","",B16*D16)</f>
        <v>2.81</v>
      </c>
    </row>
    <row r="17" spans="1:5">
      <c r="A17" s="73" t="s">
        <v>240</v>
      </c>
      <c r="B17" s="74">
        <v>1</v>
      </c>
      <c r="C17" s="73" t="s">
        <v>241</v>
      </c>
      <c r="D17" s="75">
        <v>5.26</v>
      </c>
      <c r="E17" s="75">
        <f>IF(D17="","",B17*D17)</f>
        <v>5.26</v>
      </c>
    </row>
    <row r="18" spans="1:5">
      <c r="A18" s="80" t="s">
        <v>242</v>
      </c>
      <c r="B18" s="81">
        <v>1</v>
      </c>
      <c r="C18" s="80" t="s">
        <v>243</v>
      </c>
      <c r="D18" s="82">
        <v>2.33</v>
      </c>
      <c r="E18" s="82">
        <f>IF(D18="","",B18*D18)</f>
        <v>2.33</v>
      </c>
    </row>
    <row r="19" spans="1:5">
      <c r="A19" s="76"/>
      <c r="B19" s="76"/>
      <c r="C19" s="77" t="s">
        <v>175</v>
      </c>
      <c r="D19" s="78"/>
      <c r="E19" s="79">
        <f>SUM(E2:E18)</f>
        <v>221.35000000000002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D51A2-B4DA-4F18-A4C1-BE8C9FA70FF7}">
  <dimension ref="A1:E27"/>
  <sheetViews>
    <sheetView workbookViewId="0">
      <selection activeCell="N20" sqref="N20"/>
    </sheetView>
  </sheetViews>
  <sheetFormatPr defaultRowHeight="15"/>
  <cols>
    <col min="1" max="1" width="41.85546875" customWidth="1"/>
    <col min="2" max="2" width="13.28515625" customWidth="1"/>
    <col min="3" max="3" width="24.7109375" customWidth="1"/>
    <col min="4" max="4" width="18.140625" customWidth="1"/>
    <col min="5" max="5" width="16.140625" customWidth="1"/>
  </cols>
  <sheetData>
    <row r="1" spans="1:5">
      <c r="A1" s="83" t="s">
        <v>49</v>
      </c>
      <c r="B1" s="83" t="s">
        <v>194</v>
      </c>
      <c r="C1" s="83" t="s">
        <v>5</v>
      </c>
      <c r="D1" s="83" t="s">
        <v>195</v>
      </c>
      <c r="E1" s="83" t="s">
        <v>53</v>
      </c>
    </row>
    <row r="2" spans="1:5">
      <c r="A2" s="67" t="s">
        <v>244</v>
      </c>
      <c r="B2" s="68">
        <v>8</v>
      </c>
      <c r="C2" s="67" t="s">
        <v>204</v>
      </c>
      <c r="D2" s="69">
        <v>2.29</v>
      </c>
      <c r="E2" s="69">
        <f>IF(D2="","",B2*D2)</f>
        <v>18.32</v>
      </c>
    </row>
    <row r="3" spans="1:5">
      <c r="A3" s="70" t="s">
        <v>245</v>
      </c>
      <c r="B3" s="71">
        <v>1</v>
      </c>
      <c r="C3" s="70" t="s">
        <v>246</v>
      </c>
      <c r="D3" s="72">
        <v>0.69</v>
      </c>
      <c r="E3" s="72">
        <f>IF(D3="","",B3*D3)</f>
        <v>0.69</v>
      </c>
    </row>
    <row r="4" spans="1:5">
      <c r="A4" s="67" t="s">
        <v>247</v>
      </c>
      <c r="B4" s="68">
        <v>1</v>
      </c>
      <c r="C4" s="67" t="s">
        <v>21</v>
      </c>
      <c r="D4" s="69">
        <v>2.06</v>
      </c>
      <c r="E4" s="69">
        <f>IF(D4="","",B4*D4)</f>
        <v>2.06</v>
      </c>
    </row>
    <row r="5" spans="1:5">
      <c r="A5" s="70" t="s">
        <v>43</v>
      </c>
      <c r="B5" s="71">
        <v>6</v>
      </c>
      <c r="C5" s="70" t="s">
        <v>207</v>
      </c>
      <c r="D5" s="72">
        <v>2.8</v>
      </c>
      <c r="E5" s="72">
        <f>IF(D5="","",B5*D5)</f>
        <v>16.799999999999997</v>
      </c>
    </row>
    <row r="6" spans="1:5">
      <c r="A6" s="67" t="s">
        <v>248</v>
      </c>
      <c r="B6" s="68">
        <v>8</v>
      </c>
      <c r="C6" s="67" t="s">
        <v>249</v>
      </c>
      <c r="D6" s="69">
        <v>0.49</v>
      </c>
      <c r="E6" s="69">
        <f>IF(D6="","",B6*D6)</f>
        <v>3.92</v>
      </c>
    </row>
    <row r="7" spans="1:5">
      <c r="A7" s="70" t="s">
        <v>250</v>
      </c>
      <c r="B7" s="71">
        <v>8</v>
      </c>
      <c r="C7" s="70" t="s">
        <v>211</v>
      </c>
      <c r="D7" s="72">
        <v>1.06</v>
      </c>
      <c r="E7" s="72">
        <f>IF(D7="","",B7*D7)</f>
        <v>8.48</v>
      </c>
    </row>
    <row r="8" spans="1:5">
      <c r="A8" s="67" t="s">
        <v>151</v>
      </c>
      <c r="B8" s="68">
        <v>10</v>
      </c>
      <c r="C8" s="67" t="s">
        <v>211</v>
      </c>
      <c r="D8" s="69">
        <v>0.28000000000000003</v>
      </c>
      <c r="E8" s="69">
        <f>IF(D8="","",B8*D8)</f>
        <v>2.8000000000000003</v>
      </c>
    </row>
    <row r="9" spans="1:5">
      <c r="A9" s="70" t="s">
        <v>251</v>
      </c>
      <c r="B9" s="71">
        <v>5</v>
      </c>
      <c r="C9" s="70" t="s">
        <v>252</v>
      </c>
      <c r="D9" s="72">
        <v>0.53</v>
      </c>
      <c r="E9" s="72">
        <f>IF(D9="","",B9*D9)</f>
        <v>2.6500000000000004</v>
      </c>
    </row>
    <row r="10" spans="1:5">
      <c r="A10" s="67" t="s">
        <v>253</v>
      </c>
      <c r="B10" s="68">
        <v>5</v>
      </c>
      <c r="C10" s="67" t="s">
        <v>211</v>
      </c>
      <c r="D10" s="69">
        <v>0.53</v>
      </c>
      <c r="E10" s="69">
        <f>IF(D10="","",B10*D10)</f>
        <v>2.6500000000000004</v>
      </c>
    </row>
    <row r="11" spans="1:5">
      <c r="A11" s="70" t="s">
        <v>254</v>
      </c>
      <c r="B11" s="71">
        <v>3</v>
      </c>
      <c r="C11" s="70" t="s">
        <v>21</v>
      </c>
      <c r="D11" s="72">
        <v>1.55</v>
      </c>
      <c r="E11" s="72">
        <f>IF(D11="","",B11*D11)</f>
        <v>4.6500000000000004</v>
      </c>
    </row>
    <row r="12" spans="1:5">
      <c r="A12" s="67" t="s">
        <v>25</v>
      </c>
      <c r="B12" s="68">
        <v>1</v>
      </c>
      <c r="C12" s="67" t="s">
        <v>21</v>
      </c>
      <c r="D12" s="69">
        <v>6.5</v>
      </c>
      <c r="E12" s="69">
        <f>IF(D12="","",B12*D12)</f>
        <v>6.5</v>
      </c>
    </row>
    <row r="13" spans="1:5">
      <c r="A13" s="70" t="s">
        <v>15</v>
      </c>
      <c r="B13" s="71">
        <v>6</v>
      </c>
      <c r="C13" s="70" t="s">
        <v>255</v>
      </c>
      <c r="D13" s="72">
        <v>0.52</v>
      </c>
      <c r="E13" s="72">
        <f>IF(D13="","",B13*D13)</f>
        <v>3.12</v>
      </c>
    </row>
    <row r="14" spans="1:5">
      <c r="A14" s="67" t="s">
        <v>256</v>
      </c>
      <c r="B14" s="68">
        <v>1</v>
      </c>
      <c r="C14" s="67" t="s">
        <v>21</v>
      </c>
      <c r="D14" s="69">
        <v>1.24</v>
      </c>
      <c r="E14" s="69">
        <f>IF(D14="","",B14*D14)</f>
        <v>1.24</v>
      </c>
    </row>
    <row r="15" spans="1:5">
      <c r="A15" s="70" t="s">
        <v>201</v>
      </c>
      <c r="B15" s="71">
        <v>15</v>
      </c>
      <c r="C15" s="70" t="s">
        <v>226</v>
      </c>
      <c r="D15" s="72">
        <v>1.59</v>
      </c>
      <c r="E15" s="72">
        <f>IF(D15="","",B15*D15)</f>
        <v>23.85</v>
      </c>
    </row>
    <row r="16" spans="1:5">
      <c r="A16" s="67" t="s">
        <v>257</v>
      </c>
      <c r="B16" s="68">
        <v>3</v>
      </c>
      <c r="C16" s="67" t="s">
        <v>223</v>
      </c>
      <c r="D16" s="69">
        <v>1.1299999999999999</v>
      </c>
      <c r="E16" s="69">
        <f>IF(D16="","",B16*D16)</f>
        <v>3.3899999999999997</v>
      </c>
    </row>
    <row r="17" spans="1:5">
      <c r="A17" s="70" t="s">
        <v>258</v>
      </c>
      <c r="B17" s="71">
        <v>4</v>
      </c>
      <c r="C17" s="70" t="s">
        <v>223</v>
      </c>
      <c r="D17" s="72">
        <v>1.98</v>
      </c>
      <c r="E17" s="72">
        <f>IF(D17="","",B17*D17)</f>
        <v>7.92</v>
      </c>
    </row>
    <row r="18" spans="1:5">
      <c r="A18" s="67" t="s">
        <v>196</v>
      </c>
      <c r="B18" s="68">
        <v>12</v>
      </c>
      <c r="C18" s="67" t="s">
        <v>88</v>
      </c>
      <c r="D18" s="69">
        <v>2.88</v>
      </c>
      <c r="E18" s="69">
        <f>IF(D18="","",B18*D18)</f>
        <v>34.56</v>
      </c>
    </row>
    <row r="19" spans="1:5">
      <c r="A19" s="70" t="s">
        <v>259</v>
      </c>
      <c r="B19" s="71">
        <v>6</v>
      </c>
      <c r="C19" s="70" t="s">
        <v>88</v>
      </c>
      <c r="D19" s="72">
        <v>0.52</v>
      </c>
      <c r="E19" s="72">
        <f>IF(D19="","",B19*D19)</f>
        <v>3.12</v>
      </c>
    </row>
    <row r="20" spans="1:5">
      <c r="A20" s="67" t="s">
        <v>216</v>
      </c>
      <c r="B20" s="68">
        <v>2</v>
      </c>
      <c r="C20" s="67" t="s">
        <v>99</v>
      </c>
      <c r="D20" s="69">
        <v>2.81</v>
      </c>
      <c r="E20" s="69">
        <f>IF(D20="","",B20*D20)</f>
        <v>5.62</v>
      </c>
    </row>
    <row r="21" spans="1:5">
      <c r="A21" s="70" t="s">
        <v>121</v>
      </c>
      <c r="B21" s="71">
        <v>2</v>
      </c>
      <c r="C21" s="70" t="s">
        <v>99</v>
      </c>
      <c r="D21" s="72">
        <v>1.1000000000000001</v>
      </c>
      <c r="E21" s="72">
        <f>IF(D21="","",B21*D21)</f>
        <v>2.2000000000000002</v>
      </c>
    </row>
    <row r="22" spans="1:5">
      <c r="A22" s="67" t="s">
        <v>260</v>
      </c>
      <c r="B22" s="68">
        <v>1.5</v>
      </c>
      <c r="C22" s="67" t="s">
        <v>261</v>
      </c>
      <c r="D22" s="69">
        <v>3.51</v>
      </c>
      <c r="E22" s="69">
        <f>IF(D22="","",B22*D22)</f>
        <v>5.2649999999999997</v>
      </c>
    </row>
    <row r="23" spans="1:5">
      <c r="A23" s="70" t="s">
        <v>215</v>
      </c>
      <c r="B23" s="71">
        <v>0.4</v>
      </c>
      <c r="C23" s="70" t="s">
        <v>99</v>
      </c>
      <c r="D23" s="72">
        <v>9.35</v>
      </c>
      <c r="E23" s="72">
        <f>IF(D23="","",B23*D23)</f>
        <v>3.74</v>
      </c>
    </row>
    <row r="24" spans="1:5">
      <c r="A24" s="67" t="s">
        <v>262</v>
      </c>
      <c r="B24" s="68">
        <v>1.5</v>
      </c>
      <c r="C24" s="67" t="s">
        <v>99</v>
      </c>
      <c r="D24" s="69">
        <v>4.66</v>
      </c>
      <c r="E24" s="69">
        <f>IF(D24="","",B24*D24)</f>
        <v>6.99</v>
      </c>
    </row>
    <row r="25" spans="1:5">
      <c r="A25" s="73" t="s">
        <v>263</v>
      </c>
      <c r="B25" s="74">
        <v>0.5</v>
      </c>
      <c r="C25" s="73" t="s">
        <v>99</v>
      </c>
      <c r="D25" s="75">
        <v>4.3899999999999997</v>
      </c>
      <c r="E25" s="75">
        <f>IF(D25="","",B25*D25)</f>
        <v>2.1949999999999998</v>
      </c>
    </row>
    <row r="26" spans="1:5">
      <c r="A26" s="80" t="s">
        <v>264</v>
      </c>
      <c r="B26" s="81">
        <v>0.5</v>
      </c>
      <c r="C26" s="80" t="s">
        <v>99</v>
      </c>
      <c r="D26" s="82">
        <v>4.74</v>
      </c>
      <c r="E26" s="82">
        <f>IF(D26="","",B26*D26)</f>
        <v>2.37</v>
      </c>
    </row>
    <row r="27" spans="1:5">
      <c r="A27" s="76"/>
      <c r="B27" s="76"/>
      <c r="C27" s="77" t="s">
        <v>175</v>
      </c>
      <c r="D27" s="78"/>
      <c r="E27" s="79">
        <f>SUM(E2:E26)</f>
        <v>175.1</v>
      </c>
    </row>
  </sheetData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33AAB-E6BD-4517-99B3-5D88E1D8815A}">
  <dimension ref="A1:E25"/>
  <sheetViews>
    <sheetView workbookViewId="0">
      <selection activeCell="O21" sqref="O21"/>
    </sheetView>
  </sheetViews>
  <sheetFormatPr defaultRowHeight="15"/>
  <cols>
    <col min="1" max="5" width="24.7109375" customWidth="1"/>
  </cols>
  <sheetData>
    <row r="1" spans="1:5">
      <c r="A1" s="83" t="s">
        <v>49</v>
      </c>
      <c r="B1" s="83" t="s">
        <v>194</v>
      </c>
      <c r="C1" s="83" t="s">
        <v>5</v>
      </c>
      <c r="D1" s="83" t="s">
        <v>195</v>
      </c>
      <c r="E1" s="83" t="s">
        <v>53</v>
      </c>
    </row>
    <row r="2" spans="1:5">
      <c r="A2" s="84" t="s">
        <v>201</v>
      </c>
      <c r="B2" s="85">
        <v>20</v>
      </c>
      <c r="C2" s="84" t="s">
        <v>226</v>
      </c>
      <c r="D2" s="86">
        <v>1.58</v>
      </c>
      <c r="E2" s="86">
        <f>IF(D2="","",B2*D2)</f>
        <v>31.6</v>
      </c>
    </row>
    <row r="3" spans="1:5">
      <c r="A3" s="87" t="s">
        <v>244</v>
      </c>
      <c r="B3" s="88">
        <v>6</v>
      </c>
      <c r="C3" s="87" t="s">
        <v>204</v>
      </c>
      <c r="D3" s="89">
        <v>2.29</v>
      </c>
      <c r="E3" s="89">
        <f>IF(D3="","",B3*D3)</f>
        <v>13.74</v>
      </c>
    </row>
    <row r="4" spans="1:5">
      <c r="A4" s="84" t="s">
        <v>169</v>
      </c>
      <c r="B4" s="85">
        <v>8</v>
      </c>
      <c r="C4" s="84" t="s">
        <v>249</v>
      </c>
      <c r="D4" s="86">
        <v>0.56000000000000005</v>
      </c>
      <c r="E4" s="86">
        <f>IF(D4="","",B4*D4)</f>
        <v>4.4800000000000004</v>
      </c>
    </row>
    <row r="5" spans="1:5">
      <c r="A5" s="87" t="s">
        <v>63</v>
      </c>
      <c r="B5" s="88">
        <v>6</v>
      </c>
      <c r="C5" s="87" t="s">
        <v>211</v>
      </c>
      <c r="D5" s="89">
        <v>0.53</v>
      </c>
      <c r="E5" s="89">
        <f>IF(D5="","",B5*D5)</f>
        <v>3.18</v>
      </c>
    </row>
    <row r="6" spans="1:5">
      <c r="A6" s="84" t="s">
        <v>43</v>
      </c>
      <c r="B6" s="85">
        <v>6</v>
      </c>
      <c r="C6" s="84" t="s">
        <v>207</v>
      </c>
      <c r="D6" s="86">
        <v>2.82</v>
      </c>
      <c r="E6" s="86">
        <f>IF(D6="","",B6*D6)</f>
        <v>16.919999999999998</v>
      </c>
    </row>
    <row r="7" spans="1:5">
      <c r="A7" s="87" t="s">
        <v>265</v>
      </c>
      <c r="B7" s="88">
        <v>6</v>
      </c>
      <c r="C7" s="87" t="s">
        <v>211</v>
      </c>
      <c r="D7" s="89">
        <v>1.06</v>
      </c>
      <c r="E7" s="89">
        <f>IF(D7="","",B7*D7)</f>
        <v>6.36</v>
      </c>
    </row>
    <row r="8" spans="1:5">
      <c r="A8" s="84" t="s">
        <v>251</v>
      </c>
      <c r="B8" s="85">
        <v>6</v>
      </c>
      <c r="C8" s="84" t="s">
        <v>252</v>
      </c>
      <c r="D8" s="86">
        <v>0.53</v>
      </c>
      <c r="E8" s="86">
        <f>IF(D8="","",B8*D8)</f>
        <v>3.18</v>
      </c>
    </row>
    <row r="9" spans="1:5">
      <c r="A9" s="87" t="s">
        <v>266</v>
      </c>
      <c r="B9" s="88">
        <v>10</v>
      </c>
      <c r="C9" s="87" t="s">
        <v>211</v>
      </c>
      <c r="D9" s="89">
        <v>0.53</v>
      </c>
      <c r="E9" s="89">
        <f>IF(D9="","",B9*D9)</f>
        <v>5.3000000000000007</v>
      </c>
    </row>
    <row r="10" spans="1:5">
      <c r="A10" s="84" t="s">
        <v>267</v>
      </c>
      <c r="B10" s="85">
        <v>1</v>
      </c>
      <c r="C10" s="84" t="s">
        <v>21</v>
      </c>
      <c r="D10" s="86">
        <v>4.7699999999999996</v>
      </c>
      <c r="E10" s="86">
        <f>IF(D10="","",B10*D10)</f>
        <v>4.7699999999999996</v>
      </c>
    </row>
    <row r="11" spans="1:5">
      <c r="A11" s="87" t="s">
        <v>15</v>
      </c>
      <c r="B11" s="88">
        <v>6</v>
      </c>
      <c r="C11" s="87" t="s">
        <v>255</v>
      </c>
      <c r="D11" s="89">
        <v>0.52</v>
      </c>
      <c r="E11" s="89">
        <f>IF(D11="","",B11*D11)</f>
        <v>3.12</v>
      </c>
    </row>
    <row r="12" spans="1:5">
      <c r="A12" s="84" t="s">
        <v>16</v>
      </c>
      <c r="B12" s="85">
        <v>6</v>
      </c>
      <c r="C12" s="84" t="s">
        <v>211</v>
      </c>
      <c r="D12" s="86">
        <v>0.55000000000000004</v>
      </c>
      <c r="E12" s="86">
        <f>IF(D12="","",B12*D12)</f>
        <v>3.3000000000000003</v>
      </c>
    </row>
    <row r="13" spans="1:5">
      <c r="A13" s="87" t="s">
        <v>268</v>
      </c>
      <c r="B13" s="88">
        <v>6</v>
      </c>
      <c r="C13" s="87" t="s">
        <v>211</v>
      </c>
      <c r="D13" s="89">
        <v>1.73</v>
      </c>
      <c r="E13" s="89">
        <f>IF(D13="","",B13*D13)</f>
        <v>10.379999999999999</v>
      </c>
    </row>
    <row r="14" spans="1:5">
      <c r="A14" s="84" t="s">
        <v>269</v>
      </c>
      <c r="B14" s="85">
        <v>20</v>
      </c>
      <c r="C14" s="84" t="s">
        <v>211</v>
      </c>
      <c r="D14" s="86">
        <v>1.29</v>
      </c>
      <c r="E14" s="86">
        <f>IF(D14="","",B14*D14)</f>
        <v>25.8</v>
      </c>
    </row>
    <row r="15" spans="1:5">
      <c r="A15" s="87" t="s">
        <v>270</v>
      </c>
      <c r="B15" s="88">
        <v>3</v>
      </c>
      <c r="C15" s="87" t="s">
        <v>271</v>
      </c>
      <c r="D15" s="89">
        <v>15</v>
      </c>
      <c r="E15" s="89">
        <f>IF(D15="","",B15*D15)</f>
        <v>45</v>
      </c>
    </row>
    <row r="16" spans="1:5">
      <c r="A16" s="84" t="s">
        <v>113</v>
      </c>
      <c r="B16" s="85">
        <v>10</v>
      </c>
      <c r="C16" s="84" t="s">
        <v>21</v>
      </c>
      <c r="D16" s="86">
        <v>0.8</v>
      </c>
      <c r="E16" s="86">
        <f>IF(D16="","",B16*D16)</f>
        <v>8</v>
      </c>
    </row>
    <row r="17" spans="1:5">
      <c r="A17" s="87" t="s">
        <v>272</v>
      </c>
      <c r="B17" s="88">
        <v>12</v>
      </c>
      <c r="C17" s="87" t="s">
        <v>223</v>
      </c>
      <c r="D17" s="89">
        <v>1.73</v>
      </c>
      <c r="E17" s="89">
        <f>IF(D17="","",B17*D17)</f>
        <v>20.759999999999998</v>
      </c>
    </row>
    <row r="18" spans="1:5">
      <c r="A18" s="84" t="s">
        <v>98</v>
      </c>
      <c r="B18" s="85">
        <v>2</v>
      </c>
      <c r="C18" s="84" t="s">
        <v>99</v>
      </c>
      <c r="D18" s="86">
        <v>1.64</v>
      </c>
      <c r="E18" s="86">
        <f>IF(D18="","",B18*D18)</f>
        <v>3.28</v>
      </c>
    </row>
    <row r="19" spans="1:5">
      <c r="A19" s="87" t="s">
        <v>140</v>
      </c>
      <c r="B19" s="88">
        <v>3</v>
      </c>
      <c r="C19" s="87" t="s">
        <v>99</v>
      </c>
      <c r="D19" s="89">
        <v>4.7300000000000004</v>
      </c>
      <c r="E19" s="89">
        <f>IF(D19="","",B19*D19)</f>
        <v>14.190000000000001</v>
      </c>
    </row>
    <row r="20" spans="1:5">
      <c r="A20" s="84" t="s">
        <v>273</v>
      </c>
      <c r="B20" s="85">
        <v>2</v>
      </c>
      <c r="C20" s="84" t="s">
        <v>99</v>
      </c>
      <c r="D20" s="86">
        <v>2.19</v>
      </c>
      <c r="E20" s="86">
        <f>IF(D20="","",B20*D20)</f>
        <v>4.38</v>
      </c>
    </row>
    <row r="21" spans="1:5">
      <c r="A21" s="87" t="s">
        <v>274</v>
      </c>
      <c r="B21" s="88">
        <v>1</v>
      </c>
      <c r="C21" s="87" t="s">
        <v>99</v>
      </c>
      <c r="D21" s="89">
        <v>2.81</v>
      </c>
      <c r="E21" s="89">
        <f>IF(D21="","",B21*D21)</f>
        <v>2.81</v>
      </c>
    </row>
    <row r="22" spans="1:5">
      <c r="A22" s="84" t="s">
        <v>120</v>
      </c>
      <c r="B22" s="85">
        <v>1</v>
      </c>
      <c r="C22" s="84" t="s">
        <v>99</v>
      </c>
      <c r="D22" s="86">
        <v>4.66</v>
      </c>
      <c r="E22" s="86">
        <f>IF(D22="","",B22*D22)</f>
        <v>4.66</v>
      </c>
    </row>
    <row r="23" spans="1:5">
      <c r="A23" s="90" t="s">
        <v>263</v>
      </c>
      <c r="B23" s="91">
        <v>1</v>
      </c>
      <c r="C23" s="90" t="s">
        <v>99</v>
      </c>
      <c r="D23" s="92">
        <v>4.3899999999999997</v>
      </c>
      <c r="E23" s="92">
        <f>IF(D23="","",B23*D23)</f>
        <v>4.3899999999999997</v>
      </c>
    </row>
    <row r="24" spans="1:5">
      <c r="A24" s="93" t="s">
        <v>196</v>
      </c>
      <c r="B24" s="94">
        <v>14</v>
      </c>
      <c r="C24" s="93" t="s">
        <v>88</v>
      </c>
      <c r="D24" s="95">
        <v>1.3</v>
      </c>
      <c r="E24" s="95">
        <f>IF(D24="","",B24*D24)</f>
        <v>18.2</v>
      </c>
    </row>
    <row r="25" spans="1:5">
      <c r="A25" s="96"/>
      <c r="B25" s="96"/>
      <c r="C25" s="77" t="s">
        <v>175</v>
      </c>
      <c r="D25" s="78"/>
      <c r="E25" s="79">
        <f>SUM(E2:E24)</f>
        <v>257.79999999999995</v>
      </c>
    </row>
  </sheetData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9C3BF-90C9-4D5D-A213-9AEE1E1C69FC}">
  <dimension ref="A1:E25"/>
  <sheetViews>
    <sheetView topLeftCell="A7" workbookViewId="0">
      <selection activeCell="A17" sqref="A17:A24"/>
    </sheetView>
  </sheetViews>
  <sheetFormatPr defaultRowHeight="15"/>
  <cols>
    <col min="1" max="1" width="45.7109375" customWidth="1"/>
    <col min="2" max="2" width="13.28515625" customWidth="1"/>
    <col min="3" max="3" width="21" customWidth="1"/>
    <col min="4" max="4" width="18.140625" customWidth="1"/>
    <col min="5" max="5" width="17.140625" customWidth="1"/>
  </cols>
  <sheetData>
    <row r="1" spans="1:5">
      <c r="A1" s="99" t="s">
        <v>49</v>
      </c>
      <c r="B1" s="99" t="s">
        <v>194</v>
      </c>
      <c r="C1" s="99" t="s">
        <v>5</v>
      </c>
      <c r="D1" s="99" t="s">
        <v>195</v>
      </c>
      <c r="E1" s="99" t="s">
        <v>53</v>
      </c>
    </row>
    <row r="2" spans="1:5">
      <c r="A2" s="55" t="s">
        <v>275</v>
      </c>
      <c r="B2" s="100">
        <v>20</v>
      </c>
      <c r="C2" s="55" t="s">
        <v>202</v>
      </c>
      <c r="D2" s="101">
        <v>1.58</v>
      </c>
      <c r="E2" s="101">
        <f>IF(D2="","",B2*D2)</f>
        <v>31.6</v>
      </c>
    </row>
    <row r="3" spans="1:5">
      <c r="A3" s="55" t="s">
        <v>276</v>
      </c>
      <c r="B3" s="100">
        <v>8</v>
      </c>
      <c r="C3" s="55" t="s">
        <v>200</v>
      </c>
      <c r="D3" s="101">
        <v>1.73</v>
      </c>
      <c r="E3" s="101">
        <f>IF(D3="","",B3*D3)</f>
        <v>13.84</v>
      </c>
    </row>
    <row r="4" spans="1:5">
      <c r="A4" s="55" t="s">
        <v>277</v>
      </c>
      <c r="B4" s="100">
        <v>6</v>
      </c>
      <c r="C4" s="55" t="s">
        <v>278</v>
      </c>
      <c r="D4" s="101">
        <v>0.79</v>
      </c>
      <c r="E4" s="101">
        <f>IF(D4="","",B4*D4)</f>
        <v>4.74</v>
      </c>
    </row>
    <row r="5" spans="1:5">
      <c r="A5" s="55" t="s">
        <v>279</v>
      </c>
      <c r="B5" s="100">
        <v>6</v>
      </c>
      <c r="C5" s="55" t="s">
        <v>278</v>
      </c>
      <c r="D5" s="101">
        <v>0.79</v>
      </c>
      <c r="E5" s="101">
        <f>IF(D5="","",B5*D5)</f>
        <v>4.74</v>
      </c>
    </row>
    <row r="6" spans="1:5">
      <c r="A6" s="55" t="s">
        <v>280</v>
      </c>
      <c r="B6" s="100">
        <v>6</v>
      </c>
      <c r="C6" s="55" t="s">
        <v>281</v>
      </c>
      <c r="D6" s="101">
        <v>0.7</v>
      </c>
      <c r="E6" s="101">
        <f>IF(D6="","",B6*D6)</f>
        <v>4.1999999999999993</v>
      </c>
    </row>
    <row r="7" spans="1:5">
      <c r="A7" s="55" t="s">
        <v>282</v>
      </c>
      <c r="B7" s="100">
        <v>4</v>
      </c>
      <c r="C7" s="55" t="s">
        <v>281</v>
      </c>
      <c r="D7" s="101">
        <v>0.76</v>
      </c>
      <c r="E7" s="101">
        <f>IF(D7="","",B7*D7)</f>
        <v>3.04</v>
      </c>
    </row>
    <row r="8" spans="1:5">
      <c r="A8" s="55" t="s">
        <v>283</v>
      </c>
      <c r="B8" s="100">
        <v>4</v>
      </c>
      <c r="C8" s="55" t="s">
        <v>88</v>
      </c>
      <c r="D8" s="101">
        <v>0.76</v>
      </c>
      <c r="E8" s="101">
        <f>IF(D8="","",B8*D8)</f>
        <v>3.04</v>
      </c>
    </row>
    <row r="9" spans="1:5">
      <c r="A9" s="55" t="s">
        <v>12</v>
      </c>
      <c r="B9" s="100">
        <v>4</v>
      </c>
      <c r="C9" s="55" t="s">
        <v>88</v>
      </c>
      <c r="D9" s="101">
        <v>0.76</v>
      </c>
      <c r="E9" s="101">
        <f>IF(D9="","",B9*D9)</f>
        <v>3.04</v>
      </c>
    </row>
    <row r="10" spans="1:5">
      <c r="A10" s="55" t="s">
        <v>284</v>
      </c>
      <c r="B10" s="100">
        <v>1</v>
      </c>
      <c r="C10" s="55" t="s">
        <v>285</v>
      </c>
      <c r="D10" s="101">
        <v>12.89</v>
      </c>
      <c r="E10" s="101">
        <f>IF(D10="","",B10*D10)</f>
        <v>12.89</v>
      </c>
    </row>
    <row r="11" spans="1:5">
      <c r="A11" s="55" t="s">
        <v>286</v>
      </c>
      <c r="B11" s="100">
        <v>6</v>
      </c>
      <c r="C11" s="55" t="s">
        <v>287</v>
      </c>
      <c r="D11" s="101">
        <v>0.99</v>
      </c>
      <c r="E11" s="101">
        <f>IF(D11="","",B11*D11)</f>
        <v>5.9399999999999995</v>
      </c>
    </row>
    <row r="12" spans="1:5">
      <c r="A12" s="55" t="s">
        <v>288</v>
      </c>
      <c r="B12" s="100">
        <v>1</v>
      </c>
      <c r="C12" s="55" t="s">
        <v>289</v>
      </c>
      <c r="D12" s="101">
        <v>3.99</v>
      </c>
      <c r="E12" s="101">
        <f>IF(D12="","",B12*D12)</f>
        <v>3.99</v>
      </c>
    </row>
    <row r="13" spans="1:5">
      <c r="A13" s="55" t="s">
        <v>290</v>
      </c>
      <c r="B13" s="100">
        <v>2</v>
      </c>
      <c r="C13" s="55" t="s">
        <v>21</v>
      </c>
      <c r="D13" s="101">
        <v>1.1399999999999999</v>
      </c>
      <c r="E13" s="101">
        <f>IF(D13="","",B13*D13)</f>
        <v>2.2799999999999998</v>
      </c>
    </row>
    <row r="14" spans="1:5">
      <c r="A14" s="55" t="s">
        <v>291</v>
      </c>
      <c r="B14" s="100">
        <v>14</v>
      </c>
      <c r="C14" s="55" t="s">
        <v>197</v>
      </c>
      <c r="D14" s="101">
        <v>1.3</v>
      </c>
      <c r="E14" s="101">
        <f>IF(D14="","",B14*D14)</f>
        <v>18.2</v>
      </c>
    </row>
    <row r="15" spans="1:5">
      <c r="A15" s="55" t="s">
        <v>292</v>
      </c>
      <c r="B15" s="100">
        <v>10</v>
      </c>
      <c r="C15" s="55" t="s">
        <v>204</v>
      </c>
      <c r="D15" s="101">
        <v>2.29</v>
      </c>
      <c r="E15" s="101">
        <f>IF(D15="","",B15*D15)</f>
        <v>22.9</v>
      </c>
    </row>
    <row r="16" spans="1:5">
      <c r="A16" s="55" t="s">
        <v>293</v>
      </c>
      <c r="B16" s="100">
        <v>1</v>
      </c>
      <c r="C16" s="55" t="s">
        <v>99</v>
      </c>
      <c r="D16" s="101">
        <v>11.54</v>
      </c>
      <c r="E16" s="101">
        <f>IF(D16="","",B16*D16)</f>
        <v>11.54</v>
      </c>
    </row>
    <row r="17" spans="1:5">
      <c r="A17" s="55" t="s">
        <v>239</v>
      </c>
      <c r="B17" s="100">
        <v>2</v>
      </c>
      <c r="C17" s="55" t="s">
        <v>99</v>
      </c>
      <c r="D17" s="101">
        <v>2.81</v>
      </c>
      <c r="E17" s="101">
        <f>IF(D17="","",B17*D17)</f>
        <v>5.62</v>
      </c>
    </row>
    <row r="18" spans="1:5">
      <c r="A18" s="55" t="s">
        <v>121</v>
      </c>
      <c r="B18" s="100">
        <v>2</v>
      </c>
      <c r="C18" s="55" t="s">
        <v>99</v>
      </c>
      <c r="D18" s="101">
        <v>2.19</v>
      </c>
      <c r="E18" s="101">
        <f>IF(D18="","",B18*D18)</f>
        <v>4.38</v>
      </c>
    </row>
    <row r="19" spans="1:5">
      <c r="A19" s="55" t="s">
        <v>294</v>
      </c>
      <c r="B19" s="100">
        <v>2</v>
      </c>
      <c r="C19" s="55" t="s">
        <v>99</v>
      </c>
      <c r="D19" s="101">
        <v>4.66</v>
      </c>
      <c r="E19" s="101">
        <f>IF(D19="","",B19*D19)</f>
        <v>9.32</v>
      </c>
    </row>
    <row r="20" spans="1:5">
      <c r="A20" s="55" t="s">
        <v>263</v>
      </c>
      <c r="B20" s="100">
        <v>1</v>
      </c>
      <c r="C20" s="55" t="s">
        <v>99</v>
      </c>
      <c r="D20" s="101">
        <v>4.3899999999999997</v>
      </c>
      <c r="E20" s="101">
        <f>IF(D20="","",B20*D20)</f>
        <v>4.3899999999999997</v>
      </c>
    </row>
    <row r="21" spans="1:5">
      <c r="A21" s="55" t="s">
        <v>295</v>
      </c>
      <c r="B21" s="100">
        <v>1</v>
      </c>
      <c r="C21" s="55" t="s">
        <v>99</v>
      </c>
      <c r="D21" s="101">
        <v>2.33</v>
      </c>
      <c r="E21" s="101">
        <f>IF(D21="","",B21*D21)</f>
        <v>2.33</v>
      </c>
    </row>
    <row r="22" spans="1:5">
      <c r="A22" s="55" t="s">
        <v>140</v>
      </c>
      <c r="B22" s="100">
        <v>3</v>
      </c>
      <c r="C22" s="55" t="s">
        <v>99</v>
      </c>
      <c r="D22" s="101">
        <v>4.7300000000000004</v>
      </c>
      <c r="E22" s="101">
        <f>IF(D22="","",B22*D22)</f>
        <v>14.190000000000001</v>
      </c>
    </row>
    <row r="23" spans="1:5">
      <c r="A23" s="55" t="s">
        <v>123</v>
      </c>
      <c r="B23" s="100">
        <v>1</v>
      </c>
      <c r="C23" s="55" t="s">
        <v>99</v>
      </c>
      <c r="D23" s="101">
        <v>2.83</v>
      </c>
      <c r="E23" s="101">
        <f>IF(D23="","",B23*D23)</f>
        <v>2.83</v>
      </c>
    </row>
    <row r="24" spans="1:5">
      <c r="A24" s="55" t="s">
        <v>98</v>
      </c>
      <c r="B24" s="100">
        <v>3</v>
      </c>
      <c r="C24" s="55" t="s">
        <v>99</v>
      </c>
      <c r="D24" s="101">
        <v>1.64</v>
      </c>
      <c r="E24" s="101">
        <f>IF(D24="","",B24*D24)</f>
        <v>4.92</v>
      </c>
    </row>
    <row r="25" spans="1:5">
      <c r="D25" s="97" t="s">
        <v>175</v>
      </c>
      <c r="E25" s="98">
        <f>SUM(E2:E24)</f>
        <v>193.95999999999998</v>
      </c>
    </row>
  </sheetData>
  <pageMargins left="0.7" right="0.7" top="0.75" bottom="0.75" header="0.3" footer="0.3"/>
  <legacyDrawing r:id="rId1"/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E3F34-C2A6-4EEC-A64C-115BAB3CE131}">
  <dimension ref="A1:F33"/>
  <sheetViews>
    <sheetView workbookViewId="0">
      <selection activeCell="J11" sqref="J11"/>
    </sheetView>
  </sheetViews>
  <sheetFormatPr defaultRowHeight="15"/>
  <cols>
    <col min="1" max="1" width="38.140625" customWidth="1"/>
    <col min="2" max="2" width="11.42578125" customWidth="1"/>
    <col min="3" max="3" width="18.140625" customWidth="1"/>
    <col min="4" max="4" width="17.140625" customWidth="1"/>
    <col min="5" max="5" width="14.28515625" customWidth="1"/>
  </cols>
  <sheetData>
    <row r="1" spans="1:5">
      <c r="A1" s="104" t="s">
        <v>49</v>
      </c>
      <c r="B1" s="104" t="s">
        <v>194</v>
      </c>
      <c r="C1" s="104" t="s">
        <v>5</v>
      </c>
      <c r="D1" s="104" t="s">
        <v>195</v>
      </c>
      <c r="E1" s="104" t="s">
        <v>53</v>
      </c>
    </row>
    <row r="2" spans="1:5">
      <c r="A2" s="105" t="s">
        <v>296</v>
      </c>
      <c r="B2" s="106">
        <v>1</v>
      </c>
      <c r="C2" s="105" t="s">
        <v>297</v>
      </c>
      <c r="D2" s="107">
        <v>16.670000000000002</v>
      </c>
      <c r="E2" s="107">
        <f>IF(D2="","",B2*D2)</f>
        <v>16.670000000000002</v>
      </c>
    </row>
    <row r="3" spans="1:5">
      <c r="A3" s="108" t="s">
        <v>292</v>
      </c>
      <c r="B3" s="109">
        <v>10</v>
      </c>
      <c r="C3" s="108" t="s">
        <v>204</v>
      </c>
      <c r="D3" s="110">
        <v>2.29</v>
      </c>
      <c r="E3" s="110">
        <f>IF(D3="","",B3*D3)</f>
        <v>22.9</v>
      </c>
    </row>
    <row r="4" spans="1:5">
      <c r="A4" s="105" t="s">
        <v>298</v>
      </c>
      <c r="B4" s="106">
        <v>10</v>
      </c>
      <c r="C4" s="105" t="s">
        <v>299</v>
      </c>
      <c r="D4" s="107">
        <v>1.19</v>
      </c>
      <c r="E4" s="107">
        <f>IF(D4="","",B4*D4)</f>
        <v>11.899999999999999</v>
      </c>
    </row>
    <row r="5" spans="1:5">
      <c r="A5" s="108" t="s">
        <v>16</v>
      </c>
      <c r="B5" s="109">
        <v>6</v>
      </c>
      <c r="C5" s="108" t="s">
        <v>300</v>
      </c>
      <c r="D5" s="110">
        <v>0.5</v>
      </c>
      <c r="E5" s="110">
        <f>IF(D5="","",B5*D5)</f>
        <v>3</v>
      </c>
    </row>
    <row r="6" spans="1:5">
      <c r="A6" s="105" t="s">
        <v>63</v>
      </c>
      <c r="B6" s="106">
        <v>6</v>
      </c>
      <c r="C6" s="105" t="s">
        <v>301</v>
      </c>
      <c r="D6" s="107">
        <v>0.53</v>
      </c>
      <c r="E6" s="107">
        <f>IF(D6="","",B6*D6)</f>
        <v>3.18</v>
      </c>
    </row>
    <row r="7" spans="1:5">
      <c r="A7" s="108" t="s">
        <v>268</v>
      </c>
      <c r="B7" s="109">
        <v>6</v>
      </c>
      <c r="C7" s="108" t="s">
        <v>302</v>
      </c>
      <c r="D7" s="110">
        <v>0.5</v>
      </c>
      <c r="E7" s="110">
        <f>IF(D7="","",B7*D7)</f>
        <v>3</v>
      </c>
    </row>
    <row r="8" spans="1:5">
      <c r="A8" s="105" t="s">
        <v>303</v>
      </c>
      <c r="B8" s="106">
        <v>6</v>
      </c>
      <c r="C8" s="105" t="s">
        <v>304</v>
      </c>
      <c r="D8" s="107">
        <v>0.52</v>
      </c>
      <c r="E8" s="107">
        <f>IF(D8="","",B8*D8)</f>
        <v>3.12</v>
      </c>
    </row>
    <row r="9" spans="1:5">
      <c r="A9" s="108" t="s">
        <v>151</v>
      </c>
      <c r="B9" s="109">
        <v>6</v>
      </c>
      <c r="C9" s="108" t="s">
        <v>305</v>
      </c>
      <c r="D9" s="110">
        <v>0.28999999999999998</v>
      </c>
      <c r="E9" s="110">
        <f>IF(D9="","",B9*D9)</f>
        <v>1.7399999999999998</v>
      </c>
    </row>
    <row r="10" spans="1:5">
      <c r="A10" s="105" t="s">
        <v>115</v>
      </c>
      <c r="B10" s="106">
        <v>6</v>
      </c>
      <c r="C10" s="105" t="s">
        <v>306</v>
      </c>
      <c r="D10" s="107">
        <v>0.53</v>
      </c>
      <c r="E10" s="107">
        <f>IF(D10="","",B10*D10)</f>
        <v>3.18</v>
      </c>
    </row>
    <row r="11" spans="1:5">
      <c r="A11" s="108" t="s">
        <v>307</v>
      </c>
      <c r="B11" s="109">
        <v>1</v>
      </c>
      <c r="C11" s="108" t="s">
        <v>289</v>
      </c>
      <c r="D11" s="110">
        <v>3.99</v>
      </c>
      <c r="E11" s="110">
        <f>IF(D11="","",B11*D11)</f>
        <v>3.99</v>
      </c>
    </row>
    <row r="12" spans="1:5">
      <c r="A12" s="105" t="s">
        <v>254</v>
      </c>
      <c r="B12" s="106">
        <v>2</v>
      </c>
      <c r="C12" s="105" t="s">
        <v>308</v>
      </c>
      <c r="D12" s="107">
        <v>2.79</v>
      </c>
      <c r="E12" s="107">
        <f>IF(D12="","",B12*D12)</f>
        <v>5.58</v>
      </c>
    </row>
    <row r="13" spans="1:5">
      <c r="A13" s="108" t="s">
        <v>309</v>
      </c>
      <c r="B13" s="109">
        <v>2</v>
      </c>
      <c r="C13" s="108" t="s">
        <v>310</v>
      </c>
      <c r="D13" s="110">
        <v>2.96</v>
      </c>
      <c r="E13" s="110">
        <f>IF(D13="","",B13*D13)</f>
        <v>5.92</v>
      </c>
    </row>
    <row r="14" spans="1:5">
      <c r="A14" s="105" t="s">
        <v>201</v>
      </c>
      <c r="B14" s="106">
        <v>20</v>
      </c>
      <c r="C14" s="105" t="s">
        <v>202</v>
      </c>
      <c r="D14" s="107">
        <v>1.59</v>
      </c>
      <c r="E14" s="107">
        <f>IF(D14="","",B14*D14)</f>
        <v>31.8</v>
      </c>
    </row>
    <row r="15" spans="1:5">
      <c r="A15" s="108" t="s">
        <v>311</v>
      </c>
      <c r="B15" s="109">
        <v>4</v>
      </c>
      <c r="C15" s="108" t="s">
        <v>281</v>
      </c>
      <c r="D15" s="110">
        <v>0.81</v>
      </c>
      <c r="E15" s="110">
        <f>IF(D15="","",B15*D15)</f>
        <v>3.24</v>
      </c>
    </row>
    <row r="16" spans="1:5">
      <c r="A16" s="105" t="s">
        <v>312</v>
      </c>
      <c r="B16" s="106">
        <v>4</v>
      </c>
      <c r="C16" s="105" t="s">
        <v>281</v>
      </c>
      <c r="D16" s="107">
        <v>0.81</v>
      </c>
      <c r="E16" s="107">
        <f>IF(D16="","",B16*D16)</f>
        <v>3.24</v>
      </c>
    </row>
    <row r="17" spans="1:5">
      <c r="A17" s="108" t="s">
        <v>45</v>
      </c>
      <c r="B17" s="109">
        <v>7</v>
      </c>
      <c r="C17" s="108" t="s">
        <v>281</v>
      </c>
      <c r="D17" s="110">
        <v>0.76</v>
      </c>
      <c r="E17" s="110">
        <f>IF(D17="","",B17*D17)</f>
        <v>5.32</v>
      </c>
    </row>
    <row r="18" spans="1:5">
      <c r="A18" s="105" t="s">
        <v>280</v>
      </c>
      <c r="B18" s="106">
        <v>8</v>
      </c>
      <c r="C18" s="105" t="s">
        <v>281</v>
      </c>
      <c r="D18" s="107">
        <v>0.7</v>
      </c>
      <c r="E18" s="107">
        <f>IF(D18="","",B18*D18)</f>
        <v>5.6</v>
      </c>
    </row>
    <row r="19" spans="1:5">
      <c r="A19" s="108" t="s">
        <v>313</v>
      </c>
      <c r="B19" s="109">
        <v>14</v>
      </c>
      <c r="C19" s="108" t="s">
        <v>197</v>
      </c>
      <c r="D19" s="110">
        <v>1.3</v>
      </c>
      <c r="E19" s="110">
        <f>IF(D19="","",B19*D19)</f>
        <v>18.2</v>
      </c>
    </row>
    <row r="20" spans="1:5">
      <c r="A20" s="105" t="s">
        <v>314</v>
      </c>
      <c r="B20" s="106">
        <v>30</v>
      </c>
      <c r="C20" s="105" t="s">
        <v>21</v>
      </c>
      <c r="D20" s="107">
        <v>1.1399999999999999</v>
      </c>
      <c r="E20" s="107">
        <f>IF(D20="","",B20*D20)</f>
        <v>34.199999999999996</v>
      </c>
    </row>
    <row r="21" spans="1:5">
      <c r="A21" s="108" t="s">
        <v>239</v>
      </c>
      <c r="B21" s="109">
        <v>2</v>
      </c>
      <c r="C21" s="108" t="s">
        <v>99</v>
      </c>
      <c r="D21" s="110">
        <v>2.81</v>
      </c>
      <c r="E21" s="110">
        <f>IF(D21="","",B21*D21)</f>
        <v>5.62</v>
      </c>
    </row>
    <row r="22" spans="1:5">
      <c r="A22" s="105" t="s">
        <v>121</v>
      </c>
      <c r="B22" s="106">
        <v>2</v>
      </c>
      <c r="C22" s="105" t="s">
        <v>99</v>
      </c>
      <c r="D22" s="107">
        <v>2.19</v>
      </c>
      <c r="E22" s="107">
        <f>IF(D22="","",B22*D22)</f>
        <v>4.38</v>
      </c>
    </row>
    <row r="23" spans="1:5">
      <c r="A23" s="108" t="s">
        <v>294</v>
      </c>
      <c r="B23" s="109">
        <v>2</v>
      </c>
      <c r="C23" s="108" t="s">
        <v>99</v>
      </c>
      <c r="D23" s="110">
        <v>4.66</v>
      </c>
      <c r="E23" s="110">
        <f>IF(D23="","",B23*D23)</f>
        <v>9.32</v>
      </c>
    </row>
    <row r="24" spans="1:5">
      <c r="A24" s="105" t="s">
        <v>263</v>
      </c>
      <c r="B24" s="106">
        <v>1</v>
      </c>
      <c r="C24" s="105" t="s">
        <v>99</v>
      </c>
      <c r="D24" s="107">
        <v>4.3899999999999997</v>
      </c>
      <c r="E24" s="107">
        <f>IF(D24="","",B24*D24)</f>
        <v>4.3899999999999997</v>
      </c>
    </row>
    <row r="25" spans="1:5">
      <c r="A25" s="108" t="s">
        <v>295</v>
      </c>
      <c r="B25" s="109">
        <v>1</v>
      </c>
      <c r="C25" s="108" t="s">
        <v>99</v>
      </c>
      <c r="D25" s="110">
        <v>2.33</v>
      </c>
      <c r="E25" s="110">
        <f>IF(D25="","",B25*D25)</f>
        <v>2.33</v>
      </c>
    </row>
    <row r="26" spans="1:5">
      <c r="A26" s="105" t="s">
        <v>140</v>
      </c>
      <c r="B26" s="106">
        <v>3</v>
      </c>
      <c r="C26" s="105" t="s">
        <v>99</v>
      </c>
      <c r="D26" s="107">
        <v>4.7300000000000004</v>
      </c>
      <c r="E26" s="107">
        <f>IF(D26="","",B26*D26)</f>
        <v>14.190000000000001</v>
      </c>
    </row>
    <row r="27" spans="1:5">
      <c r="A27" s="108" t="s">
        <v>123</v>
      </c>
      <c r="B27" s="109">
        <v>1</v>
      </c>
      <c r="C27" s="108" t="s">
        <v>99</v>
      </c>
      <c r="D27" s="110">
        <v>2.83</v>
      </c>
      <c r="E27" s="110">
        <f>IF(D27="","",B27*D27)</f>
        <v>2.83</v>
      </c>
    </row>
    <row r="28" spans="1:5">
      <c r="A28" s="105" t="s">
        <v>98</v>
      </c>
      <c r="B28" s="106">
        <v>3</v>
      </c>
      <c r="C28" s="105" t="s">
        <v>99</v>
      </c>
      <c r="D28" s="107">
        <v>1.64</v>
      </c>
      <c r="E28" s="107">
        <f>IF(D28="","",B28*D28)</f>
        <v>4.92</v>
      </c>
    </row>
    <row r="29" spans="1:5">
      <c r="A29" s="108" t="s">
        <v>236</v>
      </c>
      <c r="B29" s="109">
        <v>1</v>
      </c>
      <c r="C29" s="108" t="s">
        <v>99</v>
      </c>
      <c r="D29" s="110">
        <v>3.95</v>
      </c>
      <c r="E29" s="110">
        <f>IF(D29="","",B29*D29)</f>
        <v>3.95</v>
      </c>
    </row>
    <row r="30" spans="1:5">
      <c r="A30" s="105" t="s">
        <v>102</v>
      </c>
      <c r="B30" s="106">
        <v>1</v>
      </c>
      <c r="C30" s="105" t="s">
        <v>99</v>
      </c>
      <c r="D30" s="107">
        <v>3.29</v>
      </c>
      <c r="E30" s="107">
        <f>IF(D30="","",B30*D30)</f>
        <v>3.29</v>
      </c>
    </row>
    <row r="31" spans="1:5">
      <c r="A31" s="108" t="s">
        <v>315</v>
      </c>
      <c r="B31" s="109">
        <v>1</v>
      </c>
      <c r="C31" s="108" t="s">
        <v>99</v>
      </c>
      <c r="D31" s="110">
        <v>3.91</v>
      </c>
      <c r="E31" s="110">
        <f>IF(D31="","",B31*D31)</f>
        <v>3.91</v>
      </c>
    </row>
    <row r="32" spans="1:5">
      <c r="A32" s="105" t="s">
        <v>316</v>
      </c>
      <c r="B32" s="106">
        <v>1</v>
      </c>
      <c r="C32" s="105" t="s">
        <v>99</v>
      </c>
      <c r="D32" s="107">
        <v>2.08</v>
      </c>
      <c r="E32" s="107">
        <f>IF(D32="","",B32*D32)</f>
        <v>2.08</v>
      </c>
    </row>
    <row r="33" spans="1:6">
      <c r="A33" s="108"/>
      <c r="B33" s="108"/>
      <c r="C33" s="108"/>
      <c r="D33" s="111" t="s">
        <v>175</v>
      </c>
      <c r="E33" s="112">
        <f>SUM(E2:E32)</f>
        <v>246.98999999999992</v>
      </c>
      <c r="F33">
        <f>SUM(F2:F32)</f>
        <v>0</v>
      </c>
    </row>
  </sheetData>
  <pageMargins left="0.7" right="0.7" top="0.75" bottom="0.75" header="0.3" footer="0.3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27FC8-1239-49E1-9BF2-E8194D5102DA}">
  <dimension ref="A1:A13"/>
  <sheetViews>
    <sheetView workbookViewId="0">
      <selection activeCell="A15" sqref="A15"/>
    </sheetView>
  </sheetViews>
  <sheetFormatPr defaultRowHeight="15"/>
  <cols>
    <col min="1" max="1" width="38.5703125" customWidth="1"/>
  </cols>
  <sheetData>
    <row r="1" spans="1:1" ht="409.6">
      <c r="A1" s="102" t="s">
        <v>317</v>
      </c>
    </row>
    <row r="2" spans="1:1">
      <c r="A2" s="55" t="s">
        <v>318</v>
      </c>
    </row>
    <row r="3" spans="1:1">
      <c r="A3" s="103" t="s">
        <v>319</v>
      </c>
    </row>
    <row r="4" spans="1:1">
      <c r="A4" s="55" t="s">
        <v>320</v>
      </c>
    </row>
    <row r="5" spans="1:1">
      <c r="A5" s="103" t="s">
        <v>321</v>
      </c>
    </row>
    <row r="6" spans="1:1">
      <c r="A6" s="55" t="s">
        <v>322</v>
      </c>
    </row>
    <row r="7" spans="1:1">
      <c r="A7" s="103" t="s">
        <v>323</v>
      </c>
    </row>
    <row r="8" spans="1:1">
      <c r="A8" s="55" t="s">
        <v>324</v>
      </c>
    </row>
    <row r="9" spans="1:1">
      <c r="A9" s="103" t="s">
        <v>325</v>
      </c>
    </row>
    <row r="10" spans="1:1">
      <c r="A10" t="s">
        <v>326</v>
      </c>
    </row>
    <row r="11" spans="1:1">
      <c r="A11" t="s">
        <v>327</v>
      </c>
    </row>
    <row r="12" spans="1:1">
      <c r="A12" t="s">
        <v>328</v>
      </c>
    </row>
    <row r="13" spans="1:1">
      <c r="A13" t="s">
        <v>329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10ECA-9B5A-42DA-868A-0355E0EBC4C6}">
  <dimension ref="A1:D30"/>
  <sheetViews>
    <sheetView tabSelected="1" workbookViewId="0">
      <selection activeCell="A4" sqref="A4:D30"/>
    </sheetView>
  </sheetViews>
  <sheetFormatPr defaultRowHeight="15"/>
  <cols>
    <col min="1" max="1" width="51.85546875" bestFit="1" customWidth="1"/>
    <col min="2" max="2" width="4.42578125" bestFit="1" customWidth="1"/>
    <col min="3" max="3" width="12.7109375" bestFit="1" customWidth="1"/>
    <col min="4" max="4" width="12.5703125" bestFit="1" customWidth="1"/>
  </cols>
  <sheetData>
    <row r="1" spans="1:4" ht="18.75">
      <c r="A1" s="113" t="s">
        <v>330</v>
      </c>
    </row>
    <row r="2" spans="1:4">
      <c r="A2" s="114"/>
    </row>
    <row r="4" spans="1:4">
      <c r="A4" s="122" t="s">
        <v>331</v>
      </c>
      <c r="B4" s="123" t="s">
        <v>332</v>
      </c>
      <c r="C4" s="123" t="s">
        <v>333</v>
      </c>
      <c r="D4" s="123" t="s">
        <v>334</v>
      </c>
    </row>
    <row r="5" spans="1:4">
      <c r="A5" s="55" t="s">
        <v>335</v>
      </c>
      <c r="B5" s="124">
        <v>8</v>
      </c>
      <c r="C5" s="125">
        <v>1.21</v>
      </c>
      <c r="D5" s="101">
        <f>B5*C5</f>
        <v>9.68</v>
      </c>
    </row>
    <row r="6" spans="1:4">
      <c r="A6" s="55" t="s">
        <v>336</v>
      </c>
      <c r="B6" s="124">
        <v>12</v>
      </c>
      <c r="C6" s="125">
        <v>0.89</v>
      </c>
      <c r="D6" s="101">
        <f>B6*C6</f>
        <v>10.68</v>
      </c>
    </row>
    <row r="7" spans="1:4">
      <c r="A7" s="55" t="s">
        <v>337</v>
      </c>
      <c r="B7" s="124">
        <v>10</v>
      </c>
      <c r="C7" s="125">
        <v>0.81</v>
      </c>
      <c r="D7" s="101">
        <f>B7*C7</f>
        <v>8.1000000000000014</v>
      </c>
    </row>
    <row r="8" spans="1:4">
      <c r="A8" s="55" t="s">
        <v>338</v>
      </c>
      <c r="B8" s="124">
        <v>20</v>
      </c>
      <c r="C8" s="125">
        <v>1.59</v>
      </c>
      <c r="D8" s="101">
        <f>B8*C8</f>
        <v>31.8</v>
      </c>
    </row>
    <row r="9" spans="1:4">
      <c r="A9" s="55" t="s">
        <v>339</v>
      </c>
      <c r="B9" s="124">
        <v>14</v>
      </c>
      <c r="C9" s="125">
        <v>2.88</v>
      </c>
      <c r="D9" s="126">
        <f>B9*C9</f>
        <v>40.32</v>
      </c>
    </row>
    <row r="10" spans="1:4">
      <c r="A10" s="55" t="s">
        <v>340</v>
      </c>
      <c r="B10" s="124">
        <v>3</v>
      </c>
      <c r="C10" s="125">
        <v>0.6</v>
      </c>
      <c r="D10" s="101">
        <f>B10*C10</f>
        <v>1.7999999999999998</v>
      </c>
    </row>
    <row r="11" spans="1:4">
      <c r="A11" s="55" t="s">
        <v>341</v>
      </c>
      <c r="B11" s="124">
        <v>3</v>
      </c>
      <c r="C11" s="125">
        <v>0.6</v>
      </c>
      <c r="D11" s="101">
        <f>B11*C11</f>
        <v>1.7999999999999998</v>
      </c>
    </row>
    <row r="12" spans="1:4">
      <c r="A12" s="55" t="s">
        <v>342</v>
      </c>
      <c r="B12" s="124">
        <v>3</v>
      </c>
      <c r="C12" s="125">
        <v>0.6</v>
      </c>
      <c r="D12" s="101">
        <f>B12*C12</f>
        <v>1.7999999999999998</v>
      </c>
    </row>
    <row r="13" spans="1:4">
      <c r="A13" s="55" t="s">
        <v>343</v>
      </c>
      <c r="B13" s="124">
        <v>3</v>
      </c>
      <c r="C13" s="125">
        <v>0.6</v>
      </c>
      <c r="D13" s="101">
        <f>B13*C13</f>
        <v>1.7999999999999998</v>
      </c>
    </row>
    <row r="14" spans="1:4">
      <c r="A14" s="55" t="s">
        <v>344</v>
      </c>
      <c r="B14" s="124">
        <v>1</v>
      </c>
      <c r="C14" s="125">
        <v>2.19</v>
      </c>
      <c r="D14" s="101">
        <f>B14*C14</f>
        <v>2.19</v>
      </c>
    </row>
    <row r="15" spans="1:4">
      <c r="A15" s="55" t="s">
        <v>345</v>
      </c>
      <c r="B15" s="124">
        <v>1</v>
      </c>
      <c r="C15" s="125">
        <v>2.19</v>
      </c>
      <c r="D15" s="101">
        <f>B15*C15</f>
        <v>2.19</v>
      </c>
    </row>
    <row r="16" spans="1:4">
      <c r="A16" s="55" t="s">
        <v>346</v>
      </c>
      <c r="B16" s="124">
        <v>2</v>
      </c>
      <c r="C16" s="125">
        <v>1.66</v>
      </c>
      <c r="D16" s="101">
        <f>B16*C16</f>
        <v>3.32</v>
      </c>
    </row>
    <row r="17" spans="1:4">
      <c r="A17" s="55" t="s">
        <v>347</v>
      </c>
      <c r="B17" s="124">
        <v>2</v>
      </c>
      <c r="C17" s="125">
        <v>1.78</v>
      </c>
      <c r="D17" s="101">
        <f>B17*C17</f>
        <v>3.56</v>
      </c>
    </row>
    <row r="18" spans="1:4">
      <c r="A18" s="55" t="s">
        <v>348</v>
      </c>
      <c r="B18" s="124">
        <v>1</v>
      </c>
      <c r="C18" s="125">
        <v>1.61</v>
      </c>
      <c r="D18" s="101">
        <f>B18*C18</f>
        <v>1.61</v>
      </c>
    </row>
    <row r="19" spans="1:4">
      <c r="A19" s="55" t="s">
        <v>349</v>
      </c>
      <c r="B19" s="124">
        <v>1</v>
      </c>
      <c r="C19" s="127">
        <v>4.5</v>
      </c>
      <c r="D19" s="128">
        <f>B19*C19</f>
        <v>4.5</v>
      </c>
    </row>
    <row r="20" spans="1:4">
      <c r="A20" s="55" t="s">
        <v>350</v>
      </c>
      <c r="B20" s="124">
        <v>1</v>
      </c>
      <c r="C20" s="125">
        <v>3.9</v>
      </c>
      <c r="D20" s="101">
        <f>B20*C20</f>
        <v>3.9</v>
      </c>
    </row>
    <row r="21" spans="1:4">
      <c r="A21" s="55" t="s">
        <v>351</v>
      </c>
      <c r="B21" s="124">
        <v>1</v>
      </c>
      <c r="C21" s="125">
        <v>13.99</v>
      </c>
      <c r="D21" s="101">
        <f>B21*C21</f>
        <v>13.99</v>
      </c>
    </row>
    <row r="22" spans="1:4">
      <c r="A22" s="55" t="s">
        <v>352</v>
      </c>
      <c r="B22" s="124">
        <v>5</v>
      </c>
      <c r="C22" s="125">
        <v>0.27060000000000001</v>
      </c>
      <c r="D22" s="101">
        <f>B22*C22</f>
        <v>1.353</v>
      </c>
    </row>
    <row r="23" spans="1:4">
      <c r="A23" s="55" t="s">
        <v>353</v>
      </c>
      <c r="B23" s="124">
        <v>3</v>
      </c>
      <c r="C23" s="125">
        <v>2.06</v>
      </c>
      <c r="D23" s="101">
        <f>B23*C23</f>
        <v>6.18</v>
      </c>
    </row>
    <row r="24" spans="1:4">
      <c r="A24" s="55" t="s">
        <v>354</v>
      </c>
      <c r="B24" s="124">
        <v>1</v>
      </c>
      <c r="C24" s="125">
        <v>4.3899999999999997</v>
      </c>
      <c r="D24" s="101">
        <f>B24*C24</f>
        <v>4.3899999999999997</v>
      </c>
    </row>
    <row r="25" spans="1:4">
      <c r="A25" s="55" t="s">
        <v>355</v>
      </c>
      <c r="B25" s="124">
        <v>1</v>
      </c>
      <c r="C25" s="125">
        <v>7.2934000000000001</v>
      </c>
      <c r="D25" s="101">
        <f>B25*C25</f>
        <v>7.2934000000000001</v>
      </c>
    </row>
    <row r="26" spans="1:4">
      <c r="A26" s="55" t="s">
        <v>356</v>
      </c>
      <c r="B26" s="124">
        <v>3</v>
      </c>
      <c r="C26" s="125">
        <v>1.5872999999999999</v>
      </c>
      <c r="D26" s="101">
        <f>B26*C26</f>
        <v>4.7618999999999998</v>
      </c>
    </row>
    <row r="27" spans="1:4">
      <c r="A27" s="55" t="s">
        <v>357</v>
      </c>
      <c r="B27" s="124">
        <v>3</v>
      </c>
      <c r="C27" s="127">
        <v>1.59</v>
      </c>
      <c r="D27" s="128">
        <f>B27*C27</f>
        <v>4.7700000000000005</v>
      </c>
    </row>
    <row r="28" spans="1:4">
      <c r="A28" s="55" t="s">
        <v>358</v>
      </c>
      <c r="B28" s="124">
        <v>3</v>
      </c>
      <c r="C28" s="125">
        <v>3.83</v>
      </c>
      <c r="D28" s="101">
        <f>B28*C28</f>
        <v>11.49</v>
      </c>
    </row>
    <row r="29" spans="1:4">
      <c r="A29" s="55" t="s">
        <v>327</v>
      </c>
      <c r="B29" s="124">
        <v>1</v>
      </c>
      <c r="C29" s="127">
        <v>4.2</v>
      </c>
      <c r="D29" s="128">
        <f>B29*C29</f>
        <v>4.2</v>
      </c>
    </row>
    <row r="30" spans="1:4">
      <c r="A30" s="129" t="s">
        <v>359</v>
      </c>
      <c r="B30" s="129"/>
      <c r="C30" s="129"/>
      <c r="D30" s="130">
        <f>SUM(D5:D29)</f>
        <v>187.47829999999999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E8BCE-5617-48EF-BDDF-CAF5D49764BB}">
  <dimension ref="A1:E30"/>
  <sheetViews>
    <sheetView workbookViewId="0">
      <selection activeCell="J19" sqref="J19"/>
    </sheetView>
  </sheetViews>
  <sheetFormatPr defaultRowHeight="15"/>
  <cols>
    <col min="1" max="1" width="33" bestFit="1" customWidth="1"/>
    <col min="2" max="2" width="4.42578125" bestFit="1" customWidth="1"/>
    <col min="3" max="3" width="5" bestFit="1" customWidth="1"/>
    <col min="4" max="4" width="12.7109375" bestFit="1" customWidth="1"/>
    <col min="5" max="5" width="12.5703125" bestFit="1" customWidth="1"/>
  </cols>
  <sheetData>
    <row r="1" spans="1:5" ht="18.75">
      <c r="A1" s="131" t="s">
        <v>360</v>
      </c>
      <c r="B1" s="132"/>
      <c r="C1" s="132"/>
      <c r="D1" s="132"/>
      <c r="E1" s="132"/>
    </row>
    <row r="3" spans="1:5">
      <c r="A3" s="116" t="s">
        <v>361</v>
      </c>
      <c r="B3" s="116" t="s">
        <v>332</v>
      </c>
      <c r="C3" s="116" t="s">
        <v>5</v>
      </c>
      <c r="D3" s="116" t="s">
        <v>333</v>
      </c>
      <c r="E3" s="116" t="s">
        <v>334</v>
      </c>
    </row>
    <row r="4" spans="1:5">
      <c r="A4" s="117" t="s">
        <v>362</v>
      </c>
      <c r="B4" s="118">
        <v>12</v>
      </c>
      <c r="C4" s="117" t="s">
        <v>11</v>
      </c>
      <c r="D4" s="119">
        <v>0.89</v>
      </c>
      <c r="E4" s="119">
        <f>B4*D4</f>
        <v>10.68</v>
      </c>
    </row>
    <row r="5" spans="1:5">
      <c r="A5" s="117" t="s">
        <v>363</v>
      </c>
      <c r="B5" s="118">
        <v>10</v>
      </c>
      <c r="C5" s="117" t="s">
        <v>11</v>
      </c>
      <c r="D5" s="119">
        <v>0.81</v>
      </c>
      <c r="E5" s="119">
        <f>B5*D5</f>
        <v>8.1000000000000014</v>
      </c>
    </row>
    <row r="6" spans="1:5">
      <c r="A6" s="117" t="s">
        <v>364</v>
      </c>
      <c r="B6" s="118">
        <v>10</v>
      </c>
      <c r="C6" s="117" t="s">
        <v>11</v>
      </c>
      <c r="D6" s="119">
        <v>0.81</v>
      </c>
      <c r="E6" s="119">
        <f>B6*D6</f>
        <v>8.1000000000000014</v>
      </c>
    </row>
    <row r="7" spans="1:5">
      <c r="A7" s="117" t="s">
        <v>365</v>
      </c>
      <c r="B7" s="118">
        <v>10</v>
      </c>
      <c r="C7" s="117" t="s">
        <v>11</v>
      </c>
      <c r="D7" s="119">
        <v>0.76</v>
      </c>
      <c r="E7" s="119">
        <f>B7*D7</f>
        <v>7.6</v>
      </c>
    </row>
    <row r="8" spans="1:5">
      <c r="A8" s="117" t="s">
        <v>366</v>
      </c>
      <c r="B8" s="118">
        <v>8</v>
      </c>
      <c r="C8" s="117" t="s">
        <v>11</v>
      </c>
      <c r="D8" s="119">
        <v>0.7</v>
      </c>
      <c r="E8" s="119">
        <f>B8*D8</f>
        <v>5.6</v>
      </c>
    </row>
    <row r="9" spans="1:5">
      <c r="A9" s="117" t="s">
        <v>367</v>
      </c>
      <c r="B9" s="118">
        <v>12</v>
      </c>
      <c r="C9" s="117" t="s">
        <v>11</v>
      </c>
      <c r="D9" s="119">
        <v>1.31</v>
      </c>
      <c r="E9" s="119">
        <f>B9*D9</f>
        <v>15.72</v>
      </c>
    </row>
    <row r="10" spans="1:5">
      <c r="A10" s="117" t="s">
        <v>313</v>
      </c>
      <c r="B10" s="118">
        <v>20</v>
      </c>
      <c r="C10" s="117" t="s">
        <v>11</v>
      </c>
      <c r="D10" s="119">
        <v>1.3</v>
      </c>
      <c r="E10" s="119">
        <f>B10*D10</f>
        <v>26</v>
      </c>
    </row>
    <row r="11" spans="1:5">
      <c r="A11" s="117" t="s">
        <v>368</v>
      </c>
      <c r="B11" s="118">
        <v>1</v>
      </c>
      <c r="C11" s="117" t="s">
        <v>96</v>
      </c>
      <c r="D11" s="119">
        <v>6.99</v>
      </c>
      <c r="E11" s="119">
        <f>B11*D11</f>
        <v>6.99</v>
      </c>
    </row>
    <row r="12" spans="1:5">
      <c r="A12" s="117" t="s">
        <v>369</v>
      </c>
      <c r="B12" s="118">
        <v>4</v>
      </c>
      <c r="C12" s="117" t="s">
        <v>11</v>
      </c>
      <c r="D12" s="119">
        <v>1.3</v>
      </c>
      <c r="E12" s="119">
        <f>B12*D12</f>
        <v>5.2</v>
      </c>
    </row>
    <row r="13" spans="1:5">
      <c r="A13" s="117" t="s">
        <v>370</v>
      </c>
      <c r="B13" s="118">
        <v>4</v>
      </c>
      <c r="C13" s="117" t="s">
        <v>11</v>
      </c>
      <c r="D13" s="119">
        <v>0.99</v>
      </c>
      <c r="E13" s="119">
        <f>B13*D13</f>
        <v>3.96</v>
      </c>
    </row>
    <row r="14" spans="1:5">
      <c r="A14" s="117" t="s">
        <v>371</v>
      </c>
      <c r="B14" s="118">
        <v>2</v>
      </c>
      <c r="C14" s="117" t="s">
        <v>81</v>
      </c>
      <c r="D14" s="119">
        <v>1.66</v>
      </c>
      <c r="E14" s="119">
        <f>B14*D14</f>
        <v>3.32</v>
      </c>
    </row>
    <row r="15" spans="1:5">
      <c r="A15" s="117" t="s">
        <v>372</v>
      </c>
      <c r="B15" s="118">
        <v>8</v>
      </c>
      <c r="C15" s="117" t="s">
        <v>11</v>
      </c>
      <c r="D15" s="119">
        <v>1.19</v>
      </c>
      <c r="E15" s="119">
        <f>B15*D15</f>
        <v>9.52</v>
      </c>
    </row>
    <row r="16" spans="1:5">
      <c r="A16" s="117" t="s">
        <v>373</v>
      </c>
      <c r="B16" s="118">
        <v>8</v>
      </c>
      <c r="C16" s="117" t="s">
        <v>81</v>
      </c>
      <c r="D16" s="119">
        <v>1.78</v>
      </c>
      <c r="E16" s="119">
        <f>B16*D16</f>
        <v>14.24</v>
      </c>
    </row>
    <row r="17" spans="1:5">
      <c r="A17" s="117" t="s">
        <v>374</v>
      </c>
      <c r="B17" s="118">
        <v>10</v>
      </c>
      <c r="C17" s="117" t="s">
        <v>11</v>
      </c>
      <c r="D17" s="119">
        <v>0.52</v>
      </c>
      <c r="E17" s="119">
        <f>B17*D17</f>
        <v>5.2</v>
      </c>
    </row>
    <row r="18" spans="1:5">
      <c r="A18" s="117" t="s">
        <v>375</v>
      </c>
      <c r="B18" s="118">
        <v>6</v>
      </c>
      <c r="C18" s="117" t="s">
        <v>11</v>
      </c>
      <c r="D18" s="119">
        <v>1.06</v>
      </c>
      <c r="E18" s="119">
        <f>B18*D18</f>
        <v>6.36</v>
      </c>
    </row>
    <row r="19" spans="1:5">
      <c r="A19" s="117" t="s">
        <v>376</v>
      </c>
      <c r="B19" s="118">
        <v>2</v>
      </c>
      <c r="C19" s="117" t="s">
        <v>81</v>
      </c>
      <c r="D19" s="119">
        <v>3.9</v>
      </c>
      <c r="E19" s="119">
        <f>B19*D19</f>
        <v>7.8</v>
      </c>
    </row>
    <row r="20" spans="1:5">
      <c r="A20" s="117" t="s">
        <v>377</v>
      </c>
      <c r="B20" s="118">
        <v>8</v>
      </c>
      <c r="C20" s="117" t="s">
        <v>11</v>
      </c>
      <c r="D20" s="119">
        <v>0.61</v>
      </c>
      <c r="E20" s="119">
        <f>B20*D20</f>
        <v>4.88</v>
      </c>
    </row>
    <row r="21" spans="1:5">
      <c r="A21" s="117" t="s">
        <v>378</v>
      </c>
      <c r="B21" s="118">
        <v>2</v>
      </c>
      <c r="C21" s="117" t="s">
        <v>11</v>
      </c>
      <c r="D21" s="119">
        <v>2.58</v>
      </c>
      <c r="E21" s="119">
        <f>B21*D21</f>
        <v>5.16</v>
      </c>
    </row>
    <row r="22" spans="1:5">
      <c r="A22" s="117" t="s">
        <v>379</v>
      </c>
      <c r="B22" s="118">
        <v>2</v>
      </c>
      <c r="C22" s="117" t="s">
        <v>99</v>
      </c>
      <c r="D22" s="119">
        <v>2.09</v>
      </c>
      <c r="E22" s="119">
        <f>B22*D22</f>
        <v>4.18</v>
      </c>
    </row>
    <row r="23" spans="1:5">
      <c r="A23" s="117" t="s">
        <v>380</v>
      </c>
      <c r="B23" s="118">
        <v>2</v>
      </c>
      <c r="C23" s="117" t="s">
        <v>99</v>
      </c>
      <c r="D23" s="119">
        <v>1.0900000000000001</v>
      </c>
      <c r="E23" s="119">
        <f>B23*D23</f>
        <v>2.1800000000000002</v>
      </c>
    </row>
    <row r="24" spans="1:5">
      <c r="A24" s="117" t="s">
        <v>381</v>
      </c>
      <c r="B24" s="118">
        <v>2</v>
      </c>
      <c r="C24" s="117" t="s">
        <v>99</v>
      </c>
      <c r="D24" s="119">
        <v>4.16</v>
      </c>
      <c r="E24" s="119">
        <f>B24*D24</f>
        <v>8.32</v>
      </c>
    </row>
    <row r="25" spans="1:5">
      <c r="A25" s="117" t="s">
        <v>382</v>
      </c>
      <c r="B25" s="118">
        <v>1</v>
      </c>
      <c r="C25" s="117" t="s">
        <v>99</v>
      </c>
      <c r="D25" s="119">
        <v>4.3899999999999997</v>
      </c>
      <c r="E25" s="119">
        <f>B25*D25</f>
        <v>4.3899999999999997</v>
      </c>
    </row>
    <row r="26" spans="1:5">
      <c r="A26" s="117" t="s">
        <v>383</v>
      </c>
      <c r="B26" s="118">
        <v>1</v>
      </c>
      <c r="C26" s="117" t="s">
        <v>99</v>
      </c>
      <c r="D26" s="119">
        <v>4.66</v>
      </c>
      <c r="E26" s="119">
        <f>B26*D26</f>
        <v>4.66</v>
      </c>
    </row>
    <row r="27" spans="1:5">
      <c r="A27" s="117" t="s">
        <v>384</v>
      </c>
      <c r="B27" s="118">
        <v>3</v>
      </c>
      <c r="C27" s="117" t="s">
        <v>99</v>
      </c>
      <c r="D27" s="119">
        <v>1.71</v>
      </c>
      <c r="E27" s="119">
        <f>B27*D27</f>
        <v>5.13</v>
      </c>
    </row>
    <row r="28" spans="1:5">
      <c r="A28" s="117" t="s">
        <v>385</v>
      </c>
      <c r="B28" s="118">
        <v>1</v>
      </c>
      <c r="C28" s="117" t="s">
        <v>99</v>
      </c>
      <c r="D28" s="119">
        <v>6.18</v>
      </c>
      <c r="E28" s="119">
        <f>B28*D28</f>
        <v>6.18</v>
      </c>
    </row>
    <row r="29" spans="1:5">
      <c r="A29" s="117" t="s">
        <v>386</v>
      </c>
      <c r="B29" s="118">
        <v>3</v>
      </c>
      <c r="C29" s="117" t="s">
        <v>99</v>
      </c>
      <c r="D29" s="119">
        <v>1.64</v>
      </c>
      <c r="E29" s="119">
        <f>B29*D29</f>
        <v>4.92</v>
      </c>
    </row>
    <row r="30" spans="1:5">
      <c r="A30" s="120" t="s">
        <v>359</v>
      </c>
      <c r="B30" s="120"/>
      <c r="C30" s="120"/>
      <c r="D30" s="120"/>
      <c r="E30" s="121">
        <f>SUM(E4:E29)</f>
        <v>194.39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Milan Patel</cp:lastModifiedBy>
  <cp:revision/>
  <dcterms:created xsi:type="dcterms:W3CDTF">2026-03-16T12:00:46Z</dcterms:created>
  <dcterms:modified xsi:type="dcterms:W3CDTF">2026-06-25T13:16:01Z</dcterms:modified>
  <cp:category/>
  <cp:contentStatus/>
</cp:coreProperties>
</file>